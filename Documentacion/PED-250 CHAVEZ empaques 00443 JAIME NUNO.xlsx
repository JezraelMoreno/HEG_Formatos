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Shared drives\TABLAS\Formatos\"/>
    </mc:Choice>
  </mc:AlternateContent>
  <xr:revisionPtr revIDLastSave="0" documentId="8_{AA3DB39A-4649-4F1E-864A-D486463201C0}" xr6:coauthVersionLast="47" xr6:coauthVersionMax="47" xr10:uidLastSave="{00000000-0000-0000-0000-000000000000}"/>
  <bookViews>
    <workbookView xWindow="0" yWindow="0" windowWidth="19200" windowHeight="15600" firstSheet="1" activeTab="1" xr2:uid="{00000000-000D-0000-FFFF-FFFF00000000}"/>
  </bookViews>
  <sheets>
    <sheet name="Hoja1" sheetId="1" state="hidden" r:id="rId1"/>
    <sheet name="RESPALDO" sheetId="2" r:id="rId2"/>
    <sheet name="CATALOGO" sheetId="3" state="hidden" r:id="rId3"/>
    <sheet name="Sheet1" sheetId="4" state="hidden" r:id="rId4"/>
    <sheet name="PED-60 CHAVEZ herrajes 00606 EM" sheetId="5" r:id="rId5"/>
  </sheets>
  <definedNames>
    <definedName name="_xlnm._FilterDatabase" localSheetId="2" hidden="1">CATALOGO!$A$1:$D$2510</definedName>
    <definedName name="_xlnm.Print_Area" localSheetId="0">Hoja1!$A$1:$K$25</definedName>
    <definedName name="_xlnm.Print_Area" localSheetId="1">RESPALDO!$A$2:$P$46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O27" i="2"/>
  <c r="O25" i="2"/>
  <c r="O26" i="2"/>
  <c r="I24" i="2"/>
  <c r="I25" i="2"/>
  <c r="I26" i="2"/>
  <c r="O24" i="2"/>
  <c r="I2" i="5" l="1"/>
  <c r="H2" i="5"/>
  <c r="G2" i="5"/>
  <c r="F2" i="5"/>
  <c r="E2" i="5"/>
  <c r="D2" i="5"/>
  <c r="B2" i="5"/>
  <c r="A2" i="5"/>
  <c r="C2" i="5"/>
  <c r="I28" i="2"/>
  <c r="I29" i="2"/>
  <c r="I30" i="2"/>
  <c r="I31" i="2"/>
  <c r="I32" i="2"/>
  <c r="I33" i="2"/>
  <c r="I34" i="2"/>
  <c r="I35" i="2"/>
  <c r="I36" i="2"/>
  <c r="I37" i="2"/>
  <c r="C2090" i="3" l="1"/>
  <c r="C2339" i="3"/>
  <c r="C2338" i="3"/>
  <c r="C2292" i="3"/>
  <c r="C2043" i="3"/>
  <c r="C2042" i="3"/>
  <c r="C2046" i="3"/>
  <c r="C2044" i="3"/>
  <c r="C2041" i="3"/>
  <c r="C2045" i="3"/>
  <c r="C1473" i="3"/>
  <c r="C1472" i="3"/>
  <c r="C1135" i="3"/>
  <c r="C1027" i="3"/>
  <c r="C1028" i="3"/>
  <c r="C1490" i="3"/>
  <c r="C1516" i="3"/>
  <c r="C1026" i="3"/>
  <c r="C1134" i="3"/>
  <c r="C1515" i="3"/>
  <c r="C1513" i="3"/>
  <c r="C1514" i="3"/>
  <c r="C1464" i="3"/>
  <c r="C1465" i="3"/>
  <c r="C1133" i="3"/>
  <c r="C1126" i="3"/>
  <c r="C1125" i="3"/>
  <c r="C1480" i="3"/>
  <c r="C1487" i="3"/>
  <c r="C1489" i="3"/>
  <c r="C1138" i="3"/>
  <c r="C1137" i="3"/>
  <c r="C1575" i="3"/>
  <c r="C1574" i="3"/>
  <c r="C1573" i="3"/>
  <c r="C1572" i="3"/>
  <c r="C1571" i="3"/>
  <c r="C1570" i="3"/>
  <c r="C1037" i="3"/>
  <c r="C1036" i="3"/>
  <c r="C1035" i="3"/>
  <c r="C1034" i="3"/>
  <c r="C1033" i="3"/>
  <c r="C1583" i="3"/>
  <c r="C1582" i="3"/>
  <c r="C1581" i="3"/>
  <c r="C1580" i="3"/>
  <c r="C1579" i="3"/>
  <c r="C1578" i="3"/>
  <c r="C2108" i="3"/>
  <c r="C2107" i="3"/>
  <c r="C2106" i="3"/>
  <c r="C2105" i="3"/>
  <c r="C2104" i="3"/>
  <c r="C2103" i="3"/>
  <c r="C2446" i="3"/>
  <c r="C2445" i="3"/>
  <c r="C1576" i="3"/>
  <c r="C1488" i="3"/>
  <c r="C1577" i="3"/>
  <c r="C1059" i="3"/>
  <c r="C1064" i="3"/>
  <c r="C1061" i="3"/>
  <c r="C1060" i="3"/>
  <c r="C1062" i="3"/>
  <c r="C1065" i="3"/>
  <c r="C1063" i="3"/>
  <c r="C1057" i="3"/>
  <c r="C1058" i="3"/>
  <c r="C1056" i="3"/>
  <c r="C1793" i="3"/>
  <c r="C1792" i="3"/>
  <c r="C1794" i="3"/>
  <c r="C1512" i="3"/>
  <c r="C2227" i="3"/>
  <c r="C2229" i="3"/>
  <c r="C2226" i="3"/>
  <c r="C2228" i="3"/>
  <c r="C1054" i="3"/>
  <c r="C1053" i="3"/>
  <c r="C1051" i="3"/>
  <c r="C1048" i="3"/>
  <c r="C1046" i="3"/>
  <c r="C1055" i="3"/>
  <c r="C1052" i="3"/>
  <c r="C1050" i="3"/>
  <c r="C1049" i="3"/>
  <c r="C1047" i="3"/>
  <c r="C2294" i="3"/>
  <c r="C2293" i="3"/>
  <c r="C2429" i="3"/>
  <c r="C2111" i="3"/>
  <c r="C2152" i="3"/>
  <c r="C2460" i="3"/>
  <c r="C2459" i="3"/>
  <c r="C2458" i="3"/>
  <c r="C2457" i="3"/>
  <c r="C2461" i="3"/>
  <c r="C2462" i="3"/>
  <c r="C2048" i="3"/>
  <c r="C2115" i="3"/>
  <c r="C2047" i="3"/>
  <c r="C2049" i="3"/>
  <c r="C2116" i="3"/>
  <c r="C2040" i="3"/>
  <c r="C1631" i="3"/>
  <c r="C2151" i="3"/>
  <c r="C1786" i="3"/>
  <c r="C1783" i="3"/>
  <c r="C1780" i="3"/>
  <c r="C1785" i="3"/>
  <c r="C1784" i="3"/>
  <c r="C1782" i="3"/>
  <c r="C1781" i="3"/>
  <c r="C1779" i="3"/>
  <c r="C1778" i="3"/>
  <c r="C2150" i="3"/>
  <c r="C1777" i="3"/>
  <c r="C1776" i="3"/>
  <c r="C1775" i="3"/>
  <c r="C1774" i="3"/>
  <c r="C1773" i="3"/>
  <c r="C1772" i="3"/>
  <c r="C1771" i="3"/>
  <c r="C1770" i="3"/>
  <c r="C1769" i="3"/>
  <c r="C1768" i="3"/>
  <c r="C1628" i="3"/>
  <c r="C2147" i="3"/>
  <c r="C1529" i="3"/>
  <c r="C1382" i="3"/>
  <c r="C1791" i="3"/>
  <c r="C1790" i="3"/>
  <c r="C1789" i="3"/>
  <c r="C1788" i="3"/>
  <c r="C1787" i="3"/>
  <c r="C2433" i="3"/>
  <c r="C2434" i="3"/>
  <c r="C2435" i="3"/>
  <c r="C2432" i="3"/>
  <c r="C2380" i="3"/>
  <c r="C2428" i="3"/>
  <c r="C1228" i="3"/>
  <c r="C1548" i="3"/>
  <c r="C1547" i="3"/>
  <c r="C1461" i="3"/>
  <c r="C1458" i="3"/>
  <c r="C1459" i="3"/>
  <c r="C1460" i="3"/>
  <c r="C2452" i="3"/>
  <c r="C2455" i="3"/>
  <c r="C2453" i="3"/>
  <c r="C2456" i="3"/>
  <c r="C2454" i="3"/>
  <c r="C2451" i="3"/>
  <c r="C2450" i="3"/>
  <c r="C1478" i="3"/>
  <c r="C1479" i="3"/>
  <c r="C1474" i="3"/>
  <c r="C1475" i="3"/>
  <c r="C1477" i="3"/>
  <c r="C1476" i="3"/>
  <c r="C1502" i="3"/>
  <c r="C1500" i="3"/>
  <c r="C1498" i="3"/>
  <c r="C1496" i="3"/>
  <c r="C1506" i="3"/>
  <c r="C1504" i="3"/>
  <c r="C2295" i="3"/>
  <c r="C2297" i="3"/>
  <c r="C2296" i="3"/>
  <c r="C2298" i="3"/>
  <c r="C2358" i="3"/>
  <c r="C2361" i="3"/>
  <c r="C2359" i="3"/>
  <c r="C2360" i="3"/>
  <c r="C2357" i="3"/>
  <c r="C2356" i="3"/>
  <c r="C2377" i="3"/>
  <c r="C2378" i="3"/>
  <c r="C1996" i="3"/>
  <c r="C1995" i="3"/>
  <c r="C1994" i="3"/>
  <c r="C1119" i="3"/>
  <c r="C1120" i="3"/>
  <c r="C1121" i="3"/>
  <c r="C1114" i="3"/>
  <c r="C1115" i="3"/>
  <c r="C1116" i="3"/>
  <c r="C1117" i="3"/>
  <c r="C1122" i="3"/>
  <c r="C1118" i="3"/>
  <c r="C1124" i="3"/>
  <c r="C1123" i="3"/>
  <c r="C1112" i="3"/>
  <c r="C1113" i="3"/>
  <c r="C1657" i="3"/>
  <c r="C2346" i="3"/>
  <c r="C1527" i="3"/>
  <c r="C1528" i="3"/>
  <c r="C2128" i="3"/>
  <c r="C2347" i="3"/>
  <c r="C2127" i="3"/>
  <c r="C1568" i="3"/>
  <c r="C1565" i="3"/>
  <c r="C2447" i="3"/>
  <c r="C2035" i="3"/>
  <c r="C2021" i="3"/>
  <c r="C2023" i="3"/>
  <c r="C2022" i="3"/>
  <c r="C2034" i="3"/>
  <c r="C2030" i="3"/>
  <c r="C2027" i="3"/>
  <c r="C2029" i="3"/>
  <c r="C2028" i="3"/>
  <c r="C2024" i="3"/>
  <c r="C2026" i="3"/>
  <c r="C2025" i="3"/>
  <c r="C2032" i="3"/>
  <c r="C2033" i="3"/>
  <c r="C2031" i="3"/>
  <c r="C1741" i="3"/>
  <c r="C1740" i="3"/>
  <c r="C1739" i="3"/>
  <c r="C1738" i="3"/>
  <c r="C1697" i="3"/>
  <c r="C1695" i="3"/>
  <c r="C1696" i="3"/>
  <c r="C1694" i="3"/>
  <c r="C1693" i="3"/>
  <c r="C1728" i="3"/>
  <c r="C1729" i="3"/>
  <c r="C1731" i="3"/>
  <c r="C1732" i="3"/>
  <c r="C1730" i="3"/>
  <c r="C1737" i="3"/>
  <c r="C1734" i="3"/>
  <c r="C1736" i="3"/>
  <c r="C1735" i="3"/>
  <c r="C1733" i="3"/>
  <c r="C2307" i="3"/>
  <c r="C1546" i="3"/>
  <c r="C1795" i="3"/>
  <c r="C1535" i="3"/>
  <c r="C1387" i="3"/>
  <c r="C1533" i="3"/>
  <c r="C1383" i="3"/>
  <c r="C1534" i="3"/>
  <c r="C1384" i="3"/>
  <c r="C1530" i="3"/>
  <c r="C2050" i="3"/>
  <c r="C1537" i="3"/>
  <c r="C1381" i="3"/>
  <c r="C1536" i="3"/>
  <c r="C1380" i="3"/>
  <c r="C1379" i="3"/>
  <c r="C1545" i="3"/>
  <c r="C1540" i="3"/>
  <c r="C1835" i="3"/>
  <c r="C1539" i="3"/>
  <c r="C1538" i="3"/>
  <c r="C1374" i="3"/>
  <c r="C1755" i="3"/>
  <c r="C1501" i="3"/>
  <c r="C1499" i="3"/>
  <c r="C1497" i="3"/>
  <c r="C1495" i="3"/>
  <c r="C1505" i="3"/>
  <c r="C1503" i="3"/>
  <c r="C1483" i="3"/>
  <c r="C1482" i="3"/>
  <c r="C1485" i="3"/>
  <c r="C1484" i="3"/>
  <c r="C1509" i="3"/>
  <c r="C1510" i="3"/>
  <c r="C1524" i="3"/>
  <c r="C1523" i="3"/>
  <c r="C1520" i="3"/>
  <c r="C1519" i="3"/>
  <c r="C1522" i="3"/>
  <c r="C1521" i="3"/>
  <c r="C1468" i="3"/>
  <c r="C1467" i="3"/>
  <c r="C1491" i="3"/>
  <c r="C1492" i="3"/>
  <c r="C1493" i="3"/>
  <c r="C1518" i="3"/>
  <c r="C1466" i="3"/>
  <c r="C1720" i="3"/>
  <c r="C1722" i="3"/>
  <c r="C1718" i="3"/>
  <c r="C2162" i="3"/>
  <c r="C2161" i="3"/>
  <c r="C1627" i="3"/>
  <c r="C1626" i="3"/>
  <c r="C2427" i="3"/>
  <c r="C2443" i="3"/>
  <c r="C1679" i="3"/>
  <c r="C1360" i="3"/>
  <c r="C1767" i="3"/>
  <c r="C1766" i="3"/>
  <c r="C1827" i="3"/>
  <c r="C1829" i="3"/>
  <c r="C1828" i="3"/>
  <c r="C1830" i="3"/>
  <c r="C1832" i="3"/>
  <c r="C1831" i="3"/>
  <c r="C2449" i="3"/>
  <c r="C2431" i="3"/>
  <c r="C1719" i="3"/>
  <c r="C1721" i="3"/>
  <c r="C1494" i="3"/>
  <c r="C1625" i="3"/>
  <c r="C2442" i="3"/>
  <c r="C2444" i="3"/>
  <c r="C2379" i="3"/>
  <c r="C1486" i="3"/>
  <c r="C1481" i="3"/>
  <c r="C1358" i="3"/>
  <c r="C1359" i="3"/>
  <c r="C1361" i="3"/>
  <c r="C1630" i="3"/>
  <c r="C2058" i="3"/>
  <c r="C2430" i="3"/>
  <c r="C2148" i="3"/>
  <c r="C2149" i="3"/>
  <c r="C2301" i="3"/>
  <c r="C1629" i="3"/>
  <c r="C2053" i="3"/>
  <c r="C2302" i="3"/>
  <c r="C2304" i="3"/>
  <c r="C2306" i="3"/>
  <c r="C2303" i="3"/>
  <c r="C2305" i="3"/>
  <c r="C2057" i="3"/>
  <c r="C2070" i="3"/>
  <c r="C2062" i="3"/>
  <c r="C2160" i="3"/>
  <c r="C1808" i="3"/>
  <c r="C1624" i="3"/>
  <c r="C2056" i="3"/>
  <c r="C2069" i="3"/>
  <c r="C2061" i="3"/>
  <c r="C2159" i="3"/>
  <c r="C1811" i="3"/>
  <c r="C2068" i="3"/>
  <c r="C2072" i="3"/>
  <c r="C2158" i="3"/>
  <c r="C1810" i="3"/>
  <c r="C2067" i="3"/>
  <c r="C2157" i="3"/>
  <c r="C1809" i="3"/>
  <c r="C2055" i="3"/>
  <c r="C2066" i="3"/>
  <c r="C2060" i="3"/>
  <c r="C2156" i="3"/>
  <c r="C1812" i="3"/>
  <c r="C1623" i="3"/>
  <c r="C2054" i="3"/>
  <c r="C2065" i="3"/>
  <c r="C2059" i="3"/>
  <c r="C2155" i="3"/>
  <c r="C1815" i="3"/>
  <c r="C2064" i="3"/>
  <c r="C2071" i="3"/>
  <c r="C2154" i="3"/>
  <c r="C1814" i="3"/>
  <c r="C2063" i="3"/>
  <c r="C2153" i="3"/>
  <c r="C1813" i="3"/>
  <c r="C2441" i="3"/>
  <c r="C1142" i="3"/>
  <c r="C1826" i="3"/>
  <c r="C1824" i="3"/>
  <c r="C1822" i="3"/>
  <c r="C1820" i="3"/>
  <c r="C1825" i="3"/>
  <c r="C1823" i="3"/>
  <c r="C1821" i="3"/>
  <c r="C1819" i="3"/>
  <c r="C1664" i="3"/>
  <c r="C1665" i="3"/>
  <c r="C1672" i="3"/>
  <c r="C1673" i="3"/>
  <c r="C1671" i="3"/>
  <c r="C1670" i="3"/>
  <c r="C1661" i="3"/>
  <c r="C1662" i="3"/>
  <c r="C1663" i="3"/>
  <c r="C1674" i="3"/>
  <c r="C1675" i="3"/>
  <c r="C1680" i="3"/>
  <c r="C2096" i="3"/>
  <c r="C2101" i="3"/>
  <c r="C2102" i="3"/>
  <c r="C1804" i="3"/>
  <c r="C1802" i="3"/>
  <c r="C1803" i="3"/>
  <c r="C1801" i="3"/>
  <c r="C1800" i="3"/>
  <c r="C1799" i="3"/>
  <c r="C1798" i="3"/>
  <c r="C1797" i="3"/>
  <c r="C1796" i="3"/>
  <c r="C1807" i="3"/>
  <c r="C1806" i="3"/>
  <c r="C1805" i="3"/>
  <c r="C1692" i="3"/>
  <c r="C1227" i="3"/>
  <c r="C1526" i="3"/>
  <c r="C2371" i="3"/>
  <c r="C2370" i="3"/>
  <c r="C2372" i="3"/>
  <c r="C2373" i="3"/>
  <c r="C2374" i="3"/>
  <c r="C2376" i="3"/>
  <c r="C2375" i="3"/>
  <c r="C2363" i="3"/>
  <c r="C2353" i="3"/>
  <c r="C2365" i="3"/>
  <c r="C2366" i="3"/>
  <c r="C2364" i="3"/>
  <c r="C2369" i="3"/>
  <c r="C2367" i="3"/>
  <c r="C2368" i="3"/>
  <c r="C1376" i="3"/>
  <c r="C1378" i="3"/>
  <c r="C1377" i="3"/>
  <c r="C1668" i="3"/>
  <c r="C1667" i="3"/>
  <c r="C1669" i="3"/>
  <c r="C1654" i="3"/>
  <c r="C1653" i="3"/>
  <c r="C1666" i="3"/>
  <c r="C2093" i="3"/>
  <c r="C2092" i="3"/>
  <c r="C2095" i="3"/>
  <c r="C2100" i="3"/>
  <c r="C2098" i="3"/>
  <c r="C1569" i="3"/>
  <c r="C1525" i="3"/>
  <c r="C2355" i="3"/>
  <c r="C2354" i="3"/>
  <c r="C1375" i="3"/>
  <c r="C1656" i="3"/>
  <c r="C1655" i="3"/>
  <c r="C2091" i="3"/>
  <c r="C1817" i="3"/>
  <c r="C1818" i="3"/>
  <c r="C1816" i="3"/>
  <c r="C1677" i="3"/>
  <c r="C1678" i="3"/>
  <c r="C1676" i="3"/>
  <c r="C2094" i="3"/>
  <c r="C2099" i="3"/>
  <c r="C2097" i="3"/>
  <c r="C1659" i="3"/>
  <c r="C1660" i="3"/>
  <c r="C1658" i="3"/>
  <c r="C1388" i="3"/>
  <c r="C1400" i="3"/>
  <c r="C1399" i="3"/>
  <c r="C1398" i="3"/>
  <c r="C1397" i="3"/>
  <c r="C1395" i="3"/>
  <c r="C1394" i="3"/>
  <c r="C1396" i="3"/>
  <c r="C1390" i="3"/>
  <c r="C1393" i="3"/>
  <c r="C1392" i="3"/>
  <c r="C1391" i="3"/>
  <c r="C1686" i="3"/>
  <c r="C1687" i="3"/>
  <c r="C1684" i="3"/>
  <c r="C1685" i="3"/>
  <c r="C2145" i="3"/>
  <c r="C2146" i="3"/>
  <c r="C2299" i="3"/>
  <c r="C2300" i="3"/>
  <c r="C1716" i="3"/>
  <c r="C1717" i="3"/>
  <c r="C1354" i="3"/>
  <c r="C1355" i="3"/>
  <c r="C1511" i="3"/>
  <c r="C1471" i="3"/>
  <c r="C1833" i="3"/>
  <c r="C1834" i="3"/>
  <c r="C1352" i="3"/>
  <c r="C1353" i="3"/>
  <c r="C1683" i="3"/>
  <c r="C1688" i="3"/>
  <c r="C1681" i="3"/>
  <c r="C1682" i="3"/>
  <c r="C2077" i="3"/>
  <c r="C2080" i="3"/>
  <c r="C2079" i="3"/>
  <c r="C2078" i="3"/>
  <c r="C2073" i="3"/>
  <c r="C2076" i="3"/>
  <c r="C2075" i="3"/>
  <c r="C2074" i="3"/>
  <c r="C1330" i="3"/>
  <c r="C1331" i="3"/>
  <c r="C1328" i="3"/>
  <c r="C1333" i="3"/>
  <c r="C1332" i="3"/>
  <c r="C1329" i="3"/>
  <c r="C1318" i="3"/>
  <c r="C1319" i="3"/>
  <c r="C1316" i="3"/>
  <c r="C1321" i="3"/>
  <c r="C1320" i="3"/>
  <c r="C1317" i="3"/>
  <c r="C1306" i="3"/>
  <c r="C1307" i="3"/>
  <c r="C1304" i="3"/>
  <c r="C1309" i="3"/>
  <c r="C1308" i="3"/>
  <c r="C1305" i="3"/>
  <c r="C1348" i="3"/>
  <c r="C1349" i="3"/>
  <c r="C1346" i="3"/>
  <c r="C1351" i="3"/>
  <c r="C1350" i="3"/>
  <c r="C1347" i="3"/>
  <c r="C1342" i="3"/>
  <c r="C1343" i="3"/>
  <c r="C1340" i="3"/>
  <c r="C1345" i="3"/>
  <c r="C1344" i="3"/>
  <c r="C1341" i="3"/>
  <c r="C1336" i="3"/>
  <c r="C1337" i="3"/>
  <c r="C1334" i="3"/>
  <c r="C1339" i="3"/>
  <c r="C1338" i="3"/>
  <c r="C1335" i="3"/>
  <c r="C1322" i="3"/>
  <c r="C1323" i="3"/>
  <c r="C1325" i="3"/>
  <c r="C1324" i="3"/>
  <c r="C1327" i="3"/>
  <c r="C1326" i="3"/>
  <c r="C1310" i="3"/>
  <c r="C1312" i="3"/>
  <c r="C1311" i="3"/>
  <c r="C1313" i="3"/>
  <c r="C1315" i="3"/>
  <c r="C1314" i="3"/>
  <c r="C1298" i="3"/>
  <c r="C1299" i="3"/>
  <c r="C1302" i="3"/>
  <c r="C1301" i="3"/>
  <c r="C1300" i="3"/>
  <c r="C1303" i="3"/>
  <c r="C1023" i="3"/>
  <c r="C2480" i="3"/>
  <c r="C2476" i="3"/>
  <c r="C2479" i="3"/>
  <c r="C2486" i="3"/>
  <c r="C2485" i="3"/>
  <c r="C2477" i="3"/>
  <c r="C2478" i="3"/>
  <c r="C2473" i="3"/>
  <c r="C2474" i="3"/>
  <c r="C2475" i="3"/>
  <c r="C2468" i="3"/>
  <c r="C2484" i="3"/>
  <c r="C2483" i="3"/>
  <c r="C2481" i="3"/>
  <c r="C2482" i="3"/>
  <c r="C1025" i="3"/>
  <c r="C2469" i="3"/>
  <c r="C2470" i="3"/>
  <c r="C2472" i="3"/>
  <c r="C2471" i="3"/>
  <c r="C1132" i="3"/>
  <c r="C1131" i="3"/>
  <c r="C1128" i="3"/>
  <c r="C1129" i="3"/>
  <c r="C1130" i="3"/>
  <c r="C1127" i="3"/>
  <c r="C1373" i="3"/>
  <c r="C1372" i="3"/>
  <c r="C1532" i="3"/>
  <c r="C1531" i="3"/>
  <c r="C2052" i="3"/>
  <c r="C2051" i="3"/>
  <c r="C1544" i="3"/>
  <c r="C1543" i="3"/>
  <c r="C1542" i="3"/>
  <c r="C1541" i="3"/>
  <c r="C1386" i="3"/>
  <c r="C1385" i="3"/>
  <c r="C1711" i="3"/>
  <c r="C1712" i="3"/>
  <c r="C1707" i="3"/>
  <c r="C1708" i="3"/>
  <c r="C1706" i="3"/>
  <c r="C1704" i="3"/>
  <c r="C1705" i="3"/>
  <c r="C1703" i="3"/>
  <c r="C1715" i="3"/>
  <c r="C1713" i="3"/>
  <c r="C1714" i="3"/>
  <c r="C1702" i="3"/>
  <c r="C1701" i="3"/>
  <c r="C1699" i="3"/>
  <c r="C1700" i="3"/>
  <c r="C1698" i="3"/>
  <c r="C1727" i="3"/>
  <c r="C1726" i="3"/>
  <c r="C1710" i="3"/>
  <c r="C1709" i="3"/>
  <c r="C1724" i="3"/>
  <c r="C1725" i="3"/>
  <c r="C1723" i="3"/>
  <c r="C1747" i="3"/>
  <c r="C1746" i="3"/>
  <c r="C1745" i="3"/>
  <c r="C1744" i="3"/>
  <c r="C1754" i="3"/>
  <c r="C1753" i="3"/>
  <c r="C1752" i="3"/>
  <c r="C1751" i="3"/>
  <c r="C1743" i="3"/>
  <c r="C1742" i="3"/>
  <c r="C1749" i="3"/>
  <c r="C1750" i="3"/>
  <c r="C1748" i="3"/>
  <c r="C1517" i="3"/>
  <c r="C1507" i="3"/>
  <c r="C1469" i="3"/>
  <c r="C1470" i="3"/>
  <c r="C1508" i="3"/>
  <c r="C1032" i="3"/>
  <c r="C1031" i="3"/>
  <c r="C1045" i="3"/>
  <c r="C1044" i="3"/>
  <c r="C1039" i="3"/>
  <c r="C1038" i="3"/>
  <c r="C1041" i="3"/>
  <c r="C1040" i="3"/>
  <c r="C1029" i="3"/>
  <c r="C1030" i="3"/>
  <c r="C1043" i="3"/>
  <c r="C1042" i="3"/>
  <c r="C1453" i="3"/>
  <c r="C1452" i="3"/>
  <c r="C1451" i="3"/>
  <c r="C1450" i="3"/>
  <c r="C1455" i="3"/>
  <c r="C1454" i="3"/>
  <c r="C1457" i="3"/>
  <c r="C1456" i="3"/>
  <c r="C1445" i="3"/>
  <c r="C1444" i="3"/>
  <c r="C1443" i="3"/>
  <c r="C1442" i="3"/>
  <c r="C1447" i="3"/>
  <c r="C1446" i="3"/>
  <c r="C1449" i="3"/>
  <c r="C1448" i="3"/>
  <c r="C1432" i="3"/>
  <c r="C1431" i="3"/>
  <c r="C1433" i="3"/>
  <c r="C1434" i="3"/>
  <c r="C1430" i="3"/>
  <c r="C1429" i="3"/>
  <c r="C1436" i="3"/>
  <c r="C1435" i="3"/>
  <c r="C1438" i="3"/>
  <c r="C1437" i="3"/>
  <c r="C1441" i="3"/>
  <c r="C1439" i="3"/>
  <c r="C1440" i="3"/>
  <c r="C1418" i="3"/>
  <c r="C1419" i="3"/>
  <c r="C1417" i="3"/>
  <c r="C1416" i="3"/>
  <c r="C1428" i="3"/>
  <c r="C1427" i="3"/>
  <c r="C1421" i="3"/>
  <c r="C1420" i="3"/>
  <c r="C1423" i="3"/>
  <c r="C1422" i="3"/>
  <c r="C1425" i="3"/>
  <c r="C1426" i="3"/>
  <c r="C1424" i="3"/>
  <c r="C1184" i="3"/>
  <c r="C1200" i="3"/>
  <c r="C1201" i="3"/>
  <c r="C1144" i="3"/>
  <c r="C1143" i="3"/>
  <c r="C1148" i="3"/>
  <c r="C1147" i="3"/>
  <c r="C1146" i="3"/>
  <c r="C1145" i="3"/>
  <c r="C1154" i="3"/>
  <c r="C1153" i="3"/>
  <c r="C1203" i="3"/>
  <c r="C1202" i="3"/>
  <c r="C1207" i="3"/>
  <c r="C1206" i="3"/>
  <c r="C1205" i="3"/>
  <c r="C1204" i="3"/>
  <c r="C1209" i="3"/>
  <c r="C1208" i="3"/>
  <c r="C1211" i="3"/>
  <c r="C1210" i="3"/>
  <c r="C1213" i="3"/>
  <c r="C1212" i="3"/>
  <c r="C1217" i="3"/>
  <c r="C1216" i="3"/>
  <c r="C1215" i="3"/>
  <c r="C1214" i="3"/>
  <c r="C1219" i="3"/>
  <c r="C1218" i="3"/>
  <c r="C1221" i="3"/>
  <c r="C1220" i="3"/>
  <c r="C1159" i="3"/>
  <c r="C1158" i="3"/>
  <c r="C1176" i="3"/>
  <c r="C1177" i="3"/>
  <c r="C1175" i="3"/>
  <c r="C1168" i="3"/>
  <c r="C1167" i="3"/>
  <c r="C1161" i="3"/>
  <c r="C1160" i="3"/>
  <c r="C1165" i="3"/>
  <c r="C1166" i="3"/>
  <c r="C1163" i="3"/>
  <c r="C1164" i="3"/>
  <c r="C1162" i="3"/>
  <c r="C1170" i="3"/>
  <c r="C1171" i="3"/>
  <c r="C1169" i="3"/>
  <c r="C1173" i="3"/>
  <c r="C1174" i="3"/>
  <c r="C1172" i="3"/>
  <c r="C1179" i="3"/>
  <c r="C1180" i="3"/>
  <c r="C1178" i="3"/>
  <c r="C1182" i="3"/>
  <c r="C1183" i="3"/>
  <c r="C1181" i="3"/>
  <c r="C1152" i="3"/>
  <c r="C1151" i="3"/>
  <c r="C1150" i="3"/>
  <c r="C1149" i="3"/>
  <c r="C1140" i="3"/>
  <c r="C1139" i="3"/>
  <c r="C1141" i="3"/>
  <c r="C1155" i="3"/>
  <c r="C1156" i="3"/>
  <c r="C1157" i="3"/>
  <c r="C1199" i="3"/>
  <c r="C1198" i="3"/>
  <c r="C1197" i="3"/>
  <c r="C1196" i="3"/>
  <c r="C1195" i="3"/>
  <c r="C1194" i="3"/>
  <c r="C1191" i="3"/>
  <c r="C1192" i="3"/>
  <c r="C1193" i="3"/>
  <c r="C1189" i="3"/>
  <c r="C1190" i="3"/>
  <c r="C1188" i="3"/>
  <c r="C1186" i="3"/>
  <c r="C1187" i="3"/>
  <c r="C1185" i="3"/>
  <c r="I41" i="2" l="1"/>
  <c r="I42" i="2" s="1"/>
  <c r="I43" i="2" s="1"/>
  <c r="J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E4DF3-04ED-420A-A603-1EB5B18286F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<sst xmlns="http://schemas.openxmlformats.org/spreadsheetml/2006/main" count="5068" uniqueCount="3447">
  <si>
    <t>PROYECTO:</t>
  </si>
  <si>
    <t>DIRECCIÓN:</t>
  </si>
  <si>
    <t>UNIDAD</t>
  </si>
  <si>
    <t>#</t>
  </si>
  <si>
    <t>CONCEPTO</t>
  </si>
  <si>
    <t>PEDIDO</t>
  </si>
  <si>
    <t>OBSERVACIONES</t>
  </si>
  <si>
    <t>FORMULÓ:</t>
  </si>
  <si>
    <t>ARQ. JONHATAN ALEJANDRO CANO MUNIVE</t>
  </si>
  <si>
    <t>TORRE PARALLEL</t>
  </si>
  <si>
    <t>VISTA REAL MZ III Lt. 14, COL. GREEN HOUSE</t>
  </si>
  <si>
    <t>SEGUNDA ETAPA HUIXQUILUCAN, EDO. DE MÉXICO.</t>
  </si>
  <si>
    <t>ATN: DANIEL RUIZ; HUMBERTO JIMENEZ</t>
  </si>
  <si>
    <t>20 DE FEBRERO DEL 2023</t>
  </si>
  <si>
    <t>PEDIDO #335</t>
  </si>
  <si>
    <t>GIOVANNI</t>
  </si>
  <si>
    <t>SERVICIO A IMPRESORA EN OBRA</t>
  </si>
  <si>
    <t>LOTE</t>
  </si>
  <si>
    <t>HEG DISEÑO E INSTALACION, S.A. DE C.V.</t>
  </si>
  <si>
    <t>NO.</t>
  </si>
  <si>
    <t>P. UNITARIO</t>
  </si>
  <si>
    <t>IMPORTE</t>
  </si>
  <si>
    <t>FORMULÓ</t>
  </si>
  <si>
    <t>SUBTOTAL</t>
  </si>
  <si>
    <t>IVA</t>
  </si>
  <si>
    <t>TOTAL</t>
  </si>
  <si>
    <t>CLAN:</t>
  </si>
  <si>
    <t>DESCUENTO</t>
  </si>
  <si>
    <t>PAGOS INMEDIATOS</t>
  </si>
  <si>
    <t>ABRAZADERA SOLERA 48 mm. BROCHE [ACCAS48BRO]</t>
  </si>
  <si>
    <t>ABRAZADERA SOLERA 60 mm. BROCHE [ACCAS60BRO]</t>
  </si>
  <si>
    <t>ABRAZADERA TORNILLO DE 48 MM [ACCAT48]</t>
  </si>
  <si>
    <t>ABRAZADERA TORNILLO DE 60 MM [ACCAT60]</t>
  </si>
  <si>
    <t>BISAGRA DE 60 X 48 MM [ACCB60X48]</t>
  </si>
  <si>
    <t>CERROJO GRANDE TIPO R35H (#14) [ACCCERROJOGD]</t>
  </si>
  <si>
    <t>CONECTOR DE 33 MM [ACCCON33]</t>
  </si>
  <si>
    <t>COPLE SIMPLE DE 38 MM DE LAMINA [ACCCOS38LAM]</t>
  </si>
  <si>
    <t>SOLERA GAL DE 3/4 X 1/8 X 2.00 M [ACCSOLGAL1/8200]</t>
  </si>
  <si>
    <t>TAPON BARRA DE 48 X 42 MM [ACCTAB48X42]</t>
  </si>
  <si>
    <t>TAPON SIMPLE DE 60 MM LAMINA [ACCTAS60LAM]</t>
  </si>
  <si>
    <t>TORNILLO CON TUERCA 11/4 X 5/16 [ACCTOR/TUCA5/16]</t>
  </si>
  <si>
    <t>ALAMBRE FERRE. GALV. CAL. 12.5 DE 1 KG. [AFGC12.51K]</t>
  </si>
  <si>
    <t>MALLA CICLON GALV. CAL12.5 X 2.50 M63 [MCGC12.52.5063]</t>
  </si>
  <si>
    <t>PLACA BARRENADA 15 X 15 [PB15X15]</t>
  </si>
  <si>
    <t>TAQUETE EXPANSIVO TX GAV. 3/8 X 3 [TAQUETE3/8X3]</t>
  </si>
  <si>
    <t>TUBO GALV CERCA 11/2 C20 X 6.00 M [TGC11/2C206.00]</t>
  </si>
  <si>
    <t>TUBO GALV CERCA 17/8 C18 X 6.00 M [TGC17/8C186.00]</t>
  </si>
  <si>
    <t>TUBO GALV CERCA 23/8 C18 X 6.00 M [TGC23/8C186.00]</t>
  </si>
  <si>
    <t>PAÑUELO KLEENEX C/72CAJ(89330)</t>
  </si>
  <si>
    <t xml:space="preserve">ROUTER BOSCH 1617 EVS 127V CON 2 PINZAS 1/4″ Y 1/2″  601617763 </t>
  </si>
  <si>
    <t>94 PRIMER 3M SCOTCH-WELD PROMOTOR DE ADHESIÓN PARA UNA GRAN VARIEDAD DE SUSTRATOS, 0.946 L , CLARO</t>
  </si>
  <si>
    <t>ABRAZADERA SIN FIN</t>
  </si>
  <si>
    <t>ABRAZADERA SNAPLOCK</t>
  </si>
  <si>
    <t>ACEITE PARA CORTE ALUMINIO</t>
  </si>
  <si>
    <t>ADAPTACION DE RIELES PARA TALADRO MULTIPLE FELDER FD21 CON NIVELADORES RODAJA</t>
  </si>
  <si>
    <t>ADAPTACION DE RIELES SIERRAS DE DISCO</t>
  </si>
  <si>
    <t>ADAPTADOR IMPACTO 1/4" A 1/2"</t>
  </si>
  <si>
    <t>ADHESIVO ESTRUCTURAL SIKASIL SG 18 NEGRO MATE</t>
  </si>
  <si>
    <t>ALCOHOL ISOPROPÍLICO</t>
  </si>
  <si>
    <t>ALMOHADAS NOOZ ESSENTIAL 2 PACK TAMAÑO ESTANDAR</t>
  </si>
  <si>
    <t>ANCALAJES BALLROOM</t>
  </si>
  <si>
    <t xml:space="preserve">ANCLA DE 400 MM </t>
  </si>
  <si>
    <t>ANCLA DE ACERO AL CARBON DE 1/4´´ CON PRIMER POR INMERSION</t>
  </si>
  <si>
    <t>ANCLA DE ACERO AL CARBON DE 1/4´´ CON PRIMER POR INMERSION TIPO A</t>
  </si>
  <si>
    <t>ANCLA DE ACERO AL CARBON DE 1/4´´ CON PRIMER POR INMERSION TIPO B</t>
  </si>
  <si>
    <t>ANCLA DE ACERO AL CARBON DE 1/4´´ CON PRIMER POR INMERSION TIPO C</t>
  </si>
  <si>
    <t>ANCLA DE ACERO AL CARBON DE 1/4´´ CON PRIMER POR INMERSION TIPO D</t>
  </si>
  <si>
    <t>ANCLAJE QUIMICO PARA TAQUETE AD - 110 MARCA XATO</t>
  </si>
  <si>
    <t>ANCLAJE TIPO ARPON EN PULGADAS 3/8 X 3-3/4</t>
  </si>
  <si>
    <t>ANDAMIO DE 2.00 X 1.45 X 1.73 M</t>
  </si>
  <si>
    <t>ANDAMIOS GALVANIZADOS BANQUETEROS SBT-4</t>
  </si>
  <si>
    <t>ANGULO 2 X 2 X 1/8"</t>
  </si>
  <si>
    <t>ANGULO 2" X 1" X 1/8"</t>
  </si>
  <si>
    <t>ÁNGULO DE 2" X 2"X 1/4"</t>
  </si>
  <si>
    <t>ANGULO DE 2´´ X 2´´</t>
  </si>
  <si>
    <t>ANGULO DE 3/4´´</t>
  </si>
  <si>
    <t>ANGULO DE 4" X 4" X 1/4"</t>
  </si>
  <si>
    <t>ANGULO DE ALUMINIO LADOS IGUALES DE 2" X 1/4" DEESPESOR</t>
  </si>
  <si>
    <t>ANGULO DE ALUMINIO LADOS IGUALES DE 3" X 1/4" DEESPESOR</t>
  </si>
  <si>
    <t>ANGULOS DE ALUMINIO DESPATINADOS</t>
  </si>
  <si>
    <t>AP-3 RANGE OL FILTERS</t>
  </si>
  <si>
    <t>ARANDELA DE PRESIÓN PARA 3/8" ACABADO ACERO INOXIDABLE</t>
  </si>
  <si>
    <t>ARANDELA DE PRESION PARA TORNILLO DE 3/8"</t>
  </si>
  <si>
    <t>ARANDELA PLANA PARA 3/8" ACABADO ACERO INOXIDABLE</t>
  </si>
  <si>
    <t>ARAÑA COSTILLA PLACA</t>
  </si>
  <si>
    <t>ARAÑA DE 1 PUNTA</t>
  </si>
  <si>
    <t>ARAÑA INTERMEDIA</t>
  </si>
  <si>
    <t>ARBUSTO DE PLAYA</t>
  </si>
  <si>
    <t>ARCO DE SEGUETA</t>
  </si>
  <si>
    <t>ARMAZON P/RODILLO 4"</t>
  </si>
  <si>
    <t>ARNES DE SEGURIDAD DE CUERPO COMPLETO</t>
  </si>
  <si>
    <t>ARRESTADORES PARA CABLE DE ACERO DE 3/8´´</t>
  </si>
  <si>
    <t>ASPIRADORA KOBLENZ SECO-MOJADO 12 GALONES WD-12 L4</t>
  </si>
  <si>
    <t>ATORNILLADOR PARA TABLAROCA 570W FS2701 MAKITA</t>
  </si>
  <si>
    <t>BACKER DE RESPALDO CUADRADO DE 10MM X 20MM</t>
  </si>
  <si>
    <t>BACKER ROAD PLANO DE 10MM. X 20MM.</t>
  </si>
  <si>
    <t>BACKER ROAD REDONDO DE 6 MM</t>
  </si>
  <si>
    <t>BACKER ROD DE 9MM COLA DE RATA</t>
  </si>
  <si>
    <t>BACKER ROD REDONDO DE 3/8"</t>
  </si>
  <si>
    <t>BALANCIN P/GUILLOTINA 14</t>
  </si>
  <si>
    <t>BAMBU AFRICANO</t>
  </si>
  <si>
    <t>BANCO PARA LA INSTALACION DE SIERRA CORTADORA</t>
  </si>
  <si>
    <t>BANDOLA CON AMORTIGUADOR DE IMPACTO MARCA ALTO</t>
  </si>
  <si>
    <t>BARBIQUEJOS</t>
  </si>
  <si>
    <t>BARIENTE S70</t>
  </si>
  <si>
    <t>BARRA ANTIPÁNICO BRAVE CON CIERRE PISO/TECHO</t>
  </si>
  <si>
    <t>BARRA SOLIDA REDONDA DE ALUMINIO DE 1/4 DE ESPESOR TEMPLE 5</t>
  </si>
  <si>
    <t>BARROTES</t>
  </si>
  <si>
    <t>BARROTES DE 2DA</t>
  </si>
  <si>
    <t>BASE PARA RECIBIR CABLE DE PLACA D E1” PARTE SUPERIOR ACERO A36</t>
  </si>
  <si>
    <t>BASICO</t>
  </si>
  <si>
    <t>BIOMETAL ISO - 22</t>
  </si>
  <si>
    <t>BISAGRA 2 PALAS SERIE 1400 F-240</t>
  </si>
  <si>
    <t>BISAGRA 3" X 3" ACERO INOX. SAT. 304</t>
  </si>
  <si>
    <t>BISAGRA DE ACERO INOX ARQ. 4´´ X 4´´ PHILLIPS 102MM</t>
  </si>
  <si>
    <t>BISAGRA DE AUMINIO DORMA JUNIOR OFFICE, NATURAL 11.230</t>
  </si>
  <si>
    <t>BISAGRA P/VENTANA</t>
  </si>
  <si>
    <t>BISAGRA PALETA F-225</t>
  </si>
  <si>
    <t xml:space="preserve">BISAGRA PARA PUERTA DE MADERA DE 3" X 3" </t>
  </si>
  <si>
    <t>BLANQUEADOR</t>
  </si>
  <si>
    <t>BOLSA 1 3/4 X 4.764</t>
  </si>
  <si>
    <t>BOLSA DE 3"</t>
  </si>
  <si>
    <t>BOLSA NEGRA PARA BASURA</t>
  </si>
  <si>
    <t>BOLSA S70</t>
  </si>
  <si>
    <t>BOLSAS CON CARTUCHOS DE SELLADOR</t>
  </si>
  <si>
    <t>BOLSAS TRANSPARENTE CAL 200 DE 12 X 20 CM</t>
  </si>
  <si>
    <t>BOQUILLA MEZCLADORA FIS MR PLUS</t>
  </si>
  <si>
    <t>BOTAS CON CASQUILLO POLIMERO</t>
  </si>
  <si>
    <t>BOTAS DE SEGURIDAD</t>
  </si>
  <si>
    <t>BRAZO FRICCIONANTE, COMPAS LIMITADOR BASICO -SR8 DE 10" DE ACERO INOX</t>
  </si>
  <si>
    <t>BRAZO LIMITADOR</t>
  </si>
  <si>
    <t>BRAZO PROYECCION 12" YALE TOP HUNG 13MM (JGO) CAP 20 KGS</t>
  </si>
  <si>
    <t>BRAZO TELESCOPICO LIMITADOR DE ACERO INOX</t>
  </si>
  <si>
    <t>BRIDA DE 12" DE ANCHO</t>
  </si>
  <si>
    <t>BROCA CLAVACOTE PARA TAQUETE 1/2 PULG BC628 BROCAR</t>
  </si>
  <si>
    <t>BROCA CORTA CÍRCULOS AJUSTABLE MAKITA</t>
  </si>
  <si>
    <t>BROCA DE ACERO DE ALTA VELOCIDAD (HSS) DE 11/64"</t>
  </si>
  <si>
    <t>BROCA DE ALTA VELOCIDAD MEDIDA 1/4 PULG TRIUMPH</t>
  </si>
  <si>
    <t>BROCA DE ALTA VELOCIDAD MEDIDA 1/8 PULG TRIUMPH</t>
  </si>
  <si>
    <t>BROCA DE ALTA VELOCIDAD MEDIDA 11/64 PULG TRIUMPH</t>
  </si>
  <si>
    <t>BROCA DE ALTA VELOCIDAD MEDIDA 3/16 PULG TRIUMPH</t>
  </si>
  <si>
    <t>BROCA DE ALTA VELOCIDAD MEDIDA 3/8 PULG TRIUMPH</t>
  </si>
  <si>
    <t>BROCA DE ALTA VELOCIDAD MEDIDA 5/16 PULG TRIUMPH</t>
  </si>
  <si>
    <t>BROCA DE ALTA VELOCIDAD MEDIDA 5/32 PULG TRIUMPH</t>
  </si>
  <si>
    <t>BROCA DE ALTA VELOCIDAD MEDIDA 7/32 PULG TRIUMPH</t>
  </si>
  <si>
    <t>BROCA DE ALTA VELOCIDAD MEDIDA 9/64 PULG TRIUMPH</t>
  </si>
  <si>
    <t>BROCA DE CARBURO 1/4 X 1/4</t>
  </si>
  <si>
    <t>BROCA DE CARBURO 3/8 X 3/8</t>
  </si>
  <si>
    <t>BROCA DE CARBURO 5/16 X 5/16</t>
  </si>
  <si>
    <t>BROCA DE TUNGSTENO PUNTA DE FLECHA DE 1/4 DE DIAMETRO, PARA AZULEJO Y VIDRIO.</t>
  </si>
  <si>
    <t>BROCA EXTRALARGA SDS PLUS DE 3/4" DE DIAMETRO X 12 " DE LARGO PARA CONCRETO</t>
  </si>
  <si>
    <t>BROCA FISCHER SDS PLIS I 1/4´´ X 6´´ #540658</t>
  </si>
  <si>
    <t>BROCA HELICOIDAL 1/2 X 11/4 X 1/2 Z=2 UP CUT AITERTOOLS</t>
  </si>
  <si>
    <t>BROCA HELICOIDAL 1/2X11/4X1/2 Z=2 DOWN CUTAITERTOOLS</t>
  </si>
  <si>
    <t>BROCA HELICOIDAL 1/4 X 1 X 1/4 UP CUT LISA AITERTOOLS</t>
  </si>
  <si>
    <t>BROCA HELICOIDAL 4.8 X 60 X 10 Z=2 UP CUT PUNTA CIEGA LT 90 FABRICACION ESPECIAL</t>
  </si>
  <si>
    <t>BROCA HELICOIDAL 4.8X60X10 Z=2 UP CUT PU</t>
  </si>
  <si>
    <t>BROCA HM 1 X 1 1/4 X 1/2 WHITESIDE</t>
  </si>
  <si>
    <t>BROCA HM 1X1 1/4 X 1/2 WHITESIDE, BROCA HELICOIDAL 4.8 X 60 X 10 UP CUT</t>
  </si>
  <si>
    <t>BROCA PARA ACERO AL CARBON DE ALTA VELOCIDAD 3/16" CON ZANCO CORTO Y BASTAGO DE 1/2"</t>
  </si>
  <si>
    <t>BROCA PARA ACERO AL CARBON DE ALTA VELOCIDAD 5/16" CON ZANCO CORTO Y BASTAGO DE 1/2"</t>
  </si>
  <si>
    <t>BROCA PARA ACERO AL CARBON DE ALTA VELOCIDAD 5/32" CON ZANCO CORTO Y BASTAGO DE 1/2"</t>
  </si>
  <si>
    <t>BROCA PARA ACERO AL CARBON DE ALTA VELOCIDAD 7/32" CON ZANCO CORTO Y BASTAGO DE 1/2"</t>
  </si>
  <si>
    <t>BROCA PARA CONCRETO DE 3/8" SDS DE 10" DE LARGO</t>
  </si>
  <si>
    <t>BROCA PARA CONCRETO DE 3/8" X 12" DE LARGO</t>
  </si>
  <si>
    <t>BROCA PARA CONCRETO SDS 3/16</t>
  </si>
  <si>
    <t>BROCA PARA CONCRETO SDS PLUS 1/4" X 4" X 6 1/4"</t>
  </si>
  <si>
    <t>BROCA PARA METAL BOSCH HSS 5/32"</t>
  </si>
  <si>
    <t>BROCA PARA METAL BOSCH HSS-G 3/8"</t>
  </si>
  <si>
    <t>BROCA PARA METAL HSS-G 9/64</t>
  </si>
  <si>
    <t>BROCA PARA METAL MCA BOSCH HSS-G 5/16"</t>
  </si>
  <si>
    <t>BROCA SDSD PLUS 1/4" X 6"</t>
  </si>
  <si>
    <t>BROCA TALADRO MULTIPLE 1/4 X 70 X 10 CIEGA DERECHA AITERTOOLS</t>
  </si>
  <si>
    <t>BROCA TALADRO MULTIPLE 1/4 X 70 X 10 CIEGA IZQUIERDA AITERTOOLS</t>
  </si>
  <si>
    <t>BROCA TALADRO MULTIPLE 15 X 70 X 10 CIEGA DERECHA AITERTOOLS</t>
  </si>
  <si>
    <t>BROCA TALADRO MULTIPLE 16 X 70 X 10 CIEGA</t>
  </si>
  <si>
    <t>BROCA TALADRO MULTIPLE 3X70X10 CIEGA DERECHA AITERTOOLS</t>
  </si>
  <si>
    <t>BROCA TALADRO MULTIPLE 6 X 70 X 10 CIEGA DERECHA AITERTOOLS</t>
  </si>
  <si>
    <t>BROCAS DE COBALTO DE ALTA VELOCIDAD DE 1/2"</t>
  </si>
  <si>
    <t>BROCAS DE COBALTO DE ALTA VELOCIDAD DE 1/4"</t>
  </si>
  <si>
    <t>BROCAS DE COBALTO DE ALTA VELOCIDAD DE 3/8"</t>
  </si>
  <si>
    <t>BROCAS PARA METAL HSS-G 5/16</t>
  </si>
  <si>
    <t>BUJE DE 1/2 PARA CRISTAL DE 12.7 MM</t>
  </si>
  <si>
    <t>BUJE DE DIAMETRO DE 12mm X 5/16</t>
  </si>
  <si>
    <t>BUJE DE NYAMID 15MM EXTERIOR PARA TORNILLO DE 3/8´´</t>
  </si>
  <si>
    <t>BUJE DE NYLAMID DE 5/8" X 12 MM DE LARGO, PARA RECIBIR TORNILLO TIPO SQUASH DE 1/4" DE ESPESOR</t>
  </si>
  <si>
    <t>BUJE RECTO DE NYLAMID DE 19 MM DE DIAMETRO EXTERIOR, 12 MM DE DIAMETRO INTERIOR POR 12 MMDE ALTO.</t>
  </si>
  <si>
    <t>BUJE RECTO DE NYLAMID DE 19 MM DE DIAMETRO EXTERIOR, 12 MM DE DIAMETRO INTERIOR POR 26 MMDE ALTO.</t>
  </si>
  <si>
    <t>BUJE REDUCTOR DE 30mm A 5/8"</t>
  </si>
  <si>
    <t>CABEZAL PLASTICO S/MICA WW-1117</t>
  </si>
  <si>
    <t>CABLE DE ACERO EN TRAMOS DE 55 CM</t>
  </si>
  <si>
    <t>CABLE DE ENERGIA (150MT)</t>
  </si>
  <si>
    <t>CABLE DE USO RUDO 2 X 12</t>
  </si>
  <si>
    <t>CABLE DE USO RUDO CAL. 14 (PARA EXTENSIONES ELÉCTRICAS)</t>
  </si>
  <si>
    <t>CABLE FLEXIBLE SPT-POT 14 BLANCO</t>
  </si>
  <si>
    <t>CABLE USO RUDO 2X12 600V NEGRO</t>
  </si>
  <si>
    <t>CABLE USO RUDO 4X 8 600V NEGRO</t>
  </si>
  <si>
    <t>CAJA CUADRADA 75 X 75MM 13MM GALVANIZADO</t>
  </si>
  <si>
    <t>CAJA DE PAPEL TAMAÑO CARTA</t>
  </si>
  <si>
    <t>CAJA DE PINTURA GRIS EUROPA</t>
  </si>
  <si>
    <t>CAJA RECTANGULAR FSC TP 3-1/2PG TP7010</t>
  </si>
  <si>
    <t>CALZA ESPECIAL (FIJOS)</t>
  </si>
  <si>
    <t>CALZADO DE SEGURIDAD</t>
  </si>
  <si>
    <t>CAMBIO DE PASTILLAS</t>
  </si>
  <si>
    <t>CANAL 4 X 1 1/2"</t>
  </si>
  <si>
    <t>CANAL DE 3/4´´ X 3/4´´ X 6.1</t>
  </si>
  <si>
    <t>CANAL DE ALUMINIO DE 1" X 1" X 1/8"</t>
  </si>
  <si>
    <t>CANDADO ANTIELEVACION</t>
  </si>
  <si>
    <t>CANDADO DE ELEVACION</t>
  </si>
  <si>
    <t>CANDADO HERMEX</t>
  </si>
  <si>
    <t>CAÑUELA 12.7 MM.</t>
  </si>
  <si>
    <t>CAÑUELA DE 6MM CON CAVERNAS</t>
  </si>
  <si>
    <t>CAÑUELA DE 9.5 MM</t>
  </si>
  <si>
    <t>CAÑUELA P/CRISTAL INSULADO/LAMINADO</t>
  </si>
  <si>
    <t>CARETA DE PLASTICO PARA CORTES</t>
  </si>
  <si>
    <t>CARGUERO DE 2 VENTOSAS VERYBOY</t>
  </si>
  <si>
    <t>CARGUERO PARA VIDRIO DE 3 VENTOSAS</t>
  </si>
  <si>
    <t>CARRETILLA ANTICORROSIVA</t>
  </si>
  <si>
    <t>CARRETILLA PABOSE GT-103/3 ALMI</t>
  </si>
  <si>
    <t>CARRETILLA PARA MOSQUITERO</t>
  </si>
  <si>
    <t>CARRETILLA TANDEM</t>
  </si>
  <si>
    <t>CARTON CORRUGADO</t>
  </si>
  <si>
    <t>CARTUCHO DE MORTERO EPOXICO DE INYECCION FIS EM PLUS 585 S</t>
  </si>
  <si>
    <t>CASCO DE SEGURIDAD ALA ANCHA ROJO</t>
  </si>
  <si>
    <t>CASCO DE SEGURIDAD COLOR GRIS CON MATRACA PARA AJUSTE</t>
  </si>
  <si>
    <t>CASCO DE SEGURIDAD EN COLOR BLANCO CON MATRACA DE AJUSTE</t>
  </si>
  <si>
    <t>CASCOS DE SEGURIDAD COLOR AZUL</t>
  </si>
  <si>
    <t>CENTRO CARGA QO 3F 12 CIRCUITOS ZAP</t>
  </si>
  <si>
    <t>CEPILLO PARA BAÑO</t>
  </si>
  <si>
    <t>CERCO LISO</t>
  </si>
  <si>
    <t>CERCO S70</t>
  </si>
  <si>
    <t>CERCO VENTANA 2"</t>
  </si>
  <si>
    <t>CERRADURA CON PLACA
INDICADORA PORTE</t>
  </si>
  <si>
    <t>CERRADURA CVL FRENTE C CILINDRO INOX S.50</t>
  </si>
  <si>
    <t>CERRADURA DE ESQUINA DUS 10</t>
  </si>
  <si>
    <t>CERRADURA PHILLIPS X-450 ADK</t>
  </si>
  <si>
    <t>CERRADURA Y CONTRACERRADURA</t>
  </si>
  <si>
    <t>CHALECO DE SEGURIDAD CON BANDAS REFLEJANDES MODELO HEG CON LOGOTIPO</t>
  </si>
  <si>
    <t>CHALECO DE SEGURIDAD ROJO</t>
  </si>
  <si>
    <t>CHALECOS DE SEGURIDAD</t>
  </si>
  <si>
    <t>CHALECOS HEG</t>
  </si>
  <si>
    <t>CIERRA PUERTAS GEZE TS 1500 ( PARA 80 KG)</t>
  </si>
  <si>
    <t>CIERRAPUERTAS COMPLETO CON BRAZO NORMAL, COLOR PLATA</t>
  </si>
  <si>
    <t>CIERRAPUERTAS DE PISO HIDRÁULICO GEZE TS 500 NV</t>
  </si>
  <si>
    <t>CIERRE EMBUTIDO</t>
  </si>
  <si>
    <t>CINCEL PLANO SDS DE 1/2 X 10"</t>
  </si>
  <si>
    <t>CINCEL PLANO SDS DE 3/4 X 10"</t>
  </si>
  <si>
    <t>CINTA 3M VHB GRIS DE 19MM. (3/4") DE ANCHO</t>
  </si>
  <si>
    <t>CINTA 3M VHB GRIS DE 19MM. (3/4") DE ANCHO EN ROLLO DE 32.9 MTS.</t>
  </si>
  <si>
    <t>CINTA DE DOBLE ADHESIVO DE 3/4" X 3 MM MARCA 3M</t>
  </si>
  <si>
    <t>CINTA DE PELIGRO</t>
  </si>
  <si>
    <t>CINTA DE PRECAUCION</t>
  </si>
  <si>
    <t>CINTA GRIS PARA DUCTOS</t>
  </si>
  <si>
    <t>CINTA MASKING TAPE AZUL DE 3/4" X 50 MTS. (3M)</t>
  </si>
  <si>
    <t>CINTA MASKING TAPE DE 3/4" X 50 MTS. (3M)</t>
  </si>
  <si>
    <t>CINTA NORTON 6 X 12 MM RIGIDA</t>
  </si>
  <si>
    <t>CINTA NORTON CON 20 MTS</t>
  </si>
  <si>
    <t>CINTA NORTON CON DOBLE ADHESIVO COLOR NEGRO DE 1/8" X 3/4"</t>
  </si>
  <si>
    <t>CINTA NORTON DE 1/2" X 3MM EN ROLLO DE 20ML</t>
  </si>
  <si>
    <t>CINTA PLASTICO 19MMX18M NEGRO</t>
  </si>
  <si>
    <t>CINTA SELLADUCTOS</t>
  </si>
  <si>
    <t>CINTA TIPO DIGA 1 MM X 12 MM BLANCA CON 60 MTS</t>
  </si>
  <si>
    <t>CINTA VHB 3M DE 12MM X 33ML</t>
  </si>
  <si>
    <t>CINTA VHB DE 1/2" POR 32.9 MTS</t>
  </si>
  <si>
    <t>CINTA VHB DE 19 MM X 2 MM X 32.9 ML</t>
  </si>
  <si>
    <t>CINTA VHB DE 2MM X 3/4" X 32.9 MM</t>
  </si>
  <si>
    <t>CINTA VHB NEGRA DE 19 MM X 32.9 MTS</t>
  </si>
  <si>
    <t>CINTA VHB NEGRA DE 3/4 X 2 MM</t>
  </si>
  <si>
    <t>CLAVIJAS  DE USO RUDO BIFASICA</t>
  </si>
  <si>
    <t>CLAVOS DE 2 1/2"</t>
  </si>
  <si>
    <t>CLIP CHICO MURO VIDRIO</t>
  </si>
  <si>
    <t>CLORALEX 10 LTS</t>
  </si>
  <si>
    <t>CLORALEX 3.75 LITROS</t>
  </si>
  <si>
    <t>CLORO 10 LTS</t>
  </si>
  <si>
    <t>CODOS 90º</t>
  </si>
  <si>
    <t>COLA DE RATA</t>
  </si>
  <si>
    <t>COLLARIN 3.5X280MM</t>
  </si>
  <si>
    <t>COLLET ER32 7-6 (1/4) AITERTOOLS</t>
  </si>
  <si>
    <t>COMBO DEWATL TALADRO, ATORNILLADOR</t>
  </si>
  <si>
    <t>COMBO INALAMBRICO: TALADRO Y ATORNILLADOR DEWALT XR PARA TRABAJO PESADO</t>
  </si>
  <si>
    <t>Combo Llave de impacto DCF887-Rotomartillo DCD796 ION-LI 20V MAX Brushless DCK287E2 DeWalt</t>
  </si>
  <si>
    <t>COMBO ROTOMARTILLO + IMPACTO M18 FUEL 369722 MILWAUKEE</t>
  </si>
  <si>
    <t>COMBO ROTOMARTILLO DCD776 1/2” + ATORNILLADOR DCF885</t>
  </si>
  <si>
    <t>COMBO ROTOMARTILLO DCD776 1/2” + ATORNILLADOR DCF885 1/4” 20V MAX* DCK222D2 DEWALT</t>
  </si>
  <si>
    <t>COMBO ROTOMARTILLO DCD805 + ATORNILLADOR DCF887 1/2” 20V BRUSHLESS DCK2490D2 DEWALT</t>
  </si>
  <si>
    <t>COMBO ROTOMARTILLO DCD996 + ATORNILLADOR DCF887 20V BRUSHLESS DCK299P2 DEWALT</t>
  </si>
  <si>
    <t>COMBO ROTOMARTILLO DHP453-ATORNILLADOR DTD156 18V DLX2336SYX MAKITA</t>
  </si>
  <si>
    <t>COMBO ROTOMARTILLO SDS PLUS DCH133 + ATORNILLADOR DCF7871 20V BRUSHLESS DCK260D1P1T-B3 DEWALT</t>
  </si>
  <si>
    <t>COMBO ROTOMARTILLO Y ATORNILLADOR DE IMPACTO 12V</t>
  </si>
  <si>
    <t>COMBO ROTOMARTILLO Y PISTOLA DE IMAPACTO</t>
  </si>
  <si>
    <t>COMBO SDS + ESMERILADORA 4 1/2</t>
  </si>
  <si>
    <t>COMPRESOR ROTATIVO DE TORNILLOS ASIMETRICOS MARCA SCHULZ LINEA SCT5010 FLEX, DE 10 HP, MONTADO SOBRE TANQUE  DE ALMACENAMIENTO HORIZONTAL CON CAPACIDAD DE  260 LTS CONEXIÓN ELECTRICA 220V/3F/60HZ Y SECADOR REFRIGERATIVO CON DOS ETAPAS DE FILTRACION COALESCENTE INDEPENDIENTES CONEXION ELECTRICA 220V/1F/60HZ</t>
  </si>
  <si>
    <t>CONCETOR DE ACERO INOX PARA COSTILLA DE CRISTAL</t>
  </si>
  <si>
    <t>CONECTOR ARTICULADO PARA PRECIADO MEDIDAS SEGÚN PLANO ACABADO GRIS EUROPA</t>
  </si>
  <si>
    <t>CONECTOR CABLE USO RUDO .225-.612PG 1/2PG CUR12 CH</t>
  </si>
  <si>
    <t>CONECTOR CABLE USO RUDO .790-.980PG 1PG CUR100 CH</t>
  </si>
  <si>
    <t>CONECTOR COSTILLA A PASAMANOS</t>
  </si>
  <si>
    <t xml:space="preserve">CONECTOR COSTILLA A PASAMANOS </t>
  </si>
  <si>
    <t>CONECTOR DE 2" CON BASE DE 1" ACERO INOX.</t>
  </si>
  <si>
    <t>CONECTOR DE ACERO INOXIDABLE</t>
  </si>
  <si>
    <t>CONECTOR DE ACERO INOXIDABLE SEGÚN CROQUIS CON BUJE PARA BARRENO DE 12MM</t>
  </si>
  <si>
    <t>CONECTOR ELITE TIPO PIPA DOBLE
PARA COSTILLA CON TAPAS</t>
  </si>
  <si>
    <t>CONECTOR FLEXIBLE RECTO 13MM 2708 CONDUIT MET FLEX 1/2</t>
  </si>
  <si>
    <t>CONECTOR PARA RECIBIR ARAÑA</t>
  </si>
  <si>
    <t>CONECTOR PARA RECIBIR CRISTAL A ARAÑA CON TORNILLOS Y COPLE RONDANAS Y BUJE ACABADO GRIS EUROPA</t>
  </si>
  <si>
    <t>CONECTOR RECTO PARA PRECIADO DE ALUMINIO CALADO GRIS EUROPA.</t>
  </si>
  <si>
    <t>CONECTOR TIPO PIPA M-C AJUSTABLE
DE 61.5 - 76.5 MM CON TAPA</t>
  </si>
  <si>
    <t>CONECTORES SEPARADOR DE ALUMINIO DE 3/4" DE 60 MM</t>
  </si>
  <si>
    <t>CONTACTO DOBLE ATERR BLANCO</t>
  </si>
  <si>
    <t>CONTACTO MULTIPLE 6 TOMAS 2P+T 15A 120V NEMA 515R PROTECCION</t>
  </si>
  <si>
    <t>CONTENEDOR 8x8 C/DIVISIÓN UNICEL BIOD, C</t>
  </si>
  <si>
    <t>CONTENEDOR DE ACERO DE DISEÑO Y FABRICACION ESPECIAL PARA RECIBIR 225 TABLETAS DE 840 X 19 MM CON RODAJAS</t>
  </si>
  <si>
    <t>CONTRA</t>
  </si>
  <si>
    <t>CONTRA (3PZAS)</t>
  </si>
  <si>
    <t>CONTRA PARA CIERRE</t>
  </si>
  <si>
    <t>CONTRACERRADURA PORTE PARA MURO</t>
  </si>
  <si>
    <t>CONTRAS (3 PZAS)</t>
  </si>
  <si>
    <t>COPLES PARA ANDAMIO</t>
  </si>
  <si>
    <t>CORTA VIENTOS</t>
  </si>
  <si>
    <t>CORTA VIENTOS GN-633 POL</t>
  </si>
  <si>
    <t>CORTADORA DOBLE CABEZAL 4M R-GARDA DISCO 500 MM</t>
  </si>
  <si>
    <t>CORTE DE CABLE FABRICACIÓN D E TERMINAL CON CUERDA Y PRENSADO D E CABLE A TERMINAL.</t>
  </si>
  <si>
    <t>COSTALES BLANCOS</t>
  </si>
  <si>
    <t>COSTALES DE RAFIA</t>
  </si>
  <si>
    <t>COSTALES PARA BASURA</t>
  </si>
  <si>
    <t>CREMONA CON SISTEMA</t>
  </si>
  <si>
    <t>CREMONA F-702 DE HERRAJES EUROPEOS C/PALANCA</t>
  </si>
  <si>
    <t>CREMONA F-702 DE HERRAJES EUROPEOS S/PALANCA</t>
  </si>
  <si>
    <t>CREMONA FIJA</t>
  </si>
  <si>
    <t>CREMONA MINIMALISTA ACABADO NEGRO MATE CON OPERADOR</t>
  </si>
  <si>
    <t>CREMONA NEGRO MATE CON OPERADOR</t>
  </si>
  <si>
    <t>CREMONA NEGRO MATE SIN OPERADOR</t>
  </si>
  <si>
    <t>CREMONA ORIZON NEGO MATE</t>
  </si>
  <si>
    <t xml:space="preserve">CRISTAL INSULADO FORMADO POR CRISTAL CLARO DE 6MM TEMPLADO </t>
  </si>
  <si>
    <t>CRISTAL TEMPLADO TINTEX DE 9.5 MM CANTOS PULIDOS PERIMETRALES (CON LOGO EN LOS CANTOS</t>
  </si>
  <si>
    <t>CUBETA CORTAFUEGO DE 19LTS</t>
  </si>
  <si>
    <t>CUBETA DE PLASTICO</t>
  </si>
  <si>
    <t>CUBRE CANTO DE CRISTAL</t>
  </si>
  <si>
    <t>CUBRECANTO</t>
  </si>
  <si>
    <t>CUERDA DE POLIPROPILENO DE 1/2"</t>
  </si>
  <si>
    <t>CUERDA DE POLIPROPILENO DE 100 MTS X 3/4´´</t>
  </si>
  <si>
    <t>CUERDA STATIC DE 11MM X 200M</t>
  </si>
  <si>
    <t>CUERPO DE ANDAMIO</t>
  </si>
  <si>
    <t>CUÑA DE ALINEACIÓN</t>
  </si>
  <si>
    <t>CUTTER</t>
  </si>
  <si>
    <t>CUTTER PLASTICO 6" 5902 SANTUL</t>
  </si>
  <si>
    <t>DESARMADOR DE CRUZ 3/16X3 PULG 9682 URREA</t>
  </si>
  <si>
    <t>DESARMADOR PLANO 1/4X6 PULG 9816 URREA</t>
  </si>
  <si>
    <t>DESARMADOR PLANO 3/ATORNILLADOR PARA TABLAROCA 570W FS2701 MAKITA8X12 PULG 9812 URREA</t>
  </si>
  <si>
    <t>DESENGRASANTE EN ESPUMA 18 OZ WD-40 (4) 560033</t>
  </si>
  <si>
    <t>DETERGENTE ROMA 1 KG</t>
  </si>
  <si>
    <t>DISCO DE 10 PULGADAS PARA CORTE DE MADERA MARCA DEWALT DE 80 DIENTES</t>
  </si>
  <si>
    <t>DISCO DE 4 1/2" PARA CORTE DE GRANITO</t>
  </si>
  <si>
    <t>DISCO DE CORTE DE 14" 108 PASTILLAS</t>
  </si>
  <si>
    <t>DISCO DE CORTE DE 4 1/2"</t>
  </si>
  <si>
    <t>DISCO DE SIERRA 12PULGADAS DEWALT Dwa 03240 100t PARA ALUMINIO</t>
  </si>
  <si>
    <t>DISCO DURO ESTADO SOLIDO</t>
  </si>
  <si>
    <t>DISCO PARA CORTE DE 12" DE 100 DIENTES</t>
  </si>
  <si>
    <t>DISCOS DE CORTE AUSTROMEX</t>
  </si>
  <si>
    <t>DISCOS DE CORTE PARA METAL DEWALT 7"</t>
  </si>
  <si>
    <t xml:space="preserve">DISCOS DE DESBASTE PARA METAL DEWALT 7" </t>
  </si>
  <si>
    <t>EMPAQUE CAÑUELA 24 MM.</t>
  </si>
  <si>
    <t>EMPAQUE CAÑUELA 5+5</t>
  </si>
  <si>
    <t>EMPAQUE DE SANTOPRENO CAÑUELA 12.7 MM SERIE 110</t>
  </si>
  <si>
    <t>EMPAQUE DE SANTOPRENO CAÑUELA 12.7 MM SERIE 110 MODIFICADO PARA PVB MÁS GRUESO (2.28MM.)</t>
  </si>
  <si>
    <t>EMPAQUE DE SANTOPRENO CAÑUELA 24 MM SERIE 110</t>
  </si>
  <si>
    <t>EMPAQUE DE SANTOPRENO CAÑUELA DE 6MM. LÍNEA HEG-70-VENTILAS</t>
  </si>
  <si>
    <t>EMPAQUE DE SANTOPRENO COLA DE RATA</t>
  </si>
  <si>
    <t>EMPAQUE DE SANTOPRENO CUÑA BARANDAL</t>
  </si>
  <si>
    <t>EMPAQUE DE SANTOPRENO HONGO CHICO</t>
  </si>
  <si>
    <t>EMPAQUE DE SANTOPRENO HONGO CUADRADO</t>
  </si>
  <si>
    <t>EMPAQUE DE SANTOPRENO HONGO GRANDE</t>
  </si>
  <si>
    <t>EMPAQUE DE SANTOPRENO HONGO MEDIANO</t>
  </si>
  <si>
    <t>EMPAQUE DE SANTOPRENO HONGO MIXTO</t>
  </si>
  <si>
    <t>EMPAQUE DE SANTOPRENO LENGÜETA</t>
  </si>
  <si>
    <t>EMPAQUE DE SANTOPRENO MEDIA LUNA CHICA</t>
  </si>
  <si>
    <t>EMPAQUE DE SANTOPRENO RESPALDO BARANDAL</t>
  </si>
  <si>
    <t>EMPAQUE DE SANTOPRENO RESPALDO CRISTAL</t>
  </si>
  <si>
    <t>EMPAQUE DE SANTOPRENO RESPALDO SERVILLETERO</t>
  </si>
  <si>
    <t>ENVOLTURA DE CARTON CORRUGADO KRAFT EN ROLLO DE 48" DE ANCHO X 250 PIES DE LARGO</t>
  </si>
  <si>
    <t>EPÓXICO FESTER CF890</t>
  </si>
  <si>
    <t>ESCALERA DE EXTENSION DE 28 PELDAÑOS</t>
  </si>
  <si>
    <t>ESCALERA DE TIJERA DE 10 PELDAÑOS</t>
  </si>
  <si>
    <t>ESCALERA DE TIJERA DE 5 PELDAÑOS (1.5MTS)</t>
  </si>
  <si>
    <t>ESCALERA DE TIJERA DE 7 PELDAÑOS</t>
  </si>
  <si>
    <t>ESCALONADO DE 3"</t>
  </si>
  <si>
    <t>ESCALONADO S70</t>
  </si>
  <si>
    <t>ESCOBA</t>
  </si>
  <si>
    <t>ESCUADRA DE BOTÓN</t>
  </si>
  <si>
    <t>ESCUADRA DE CANTERO 16" X 24"</t>
  </si>
  <si>
    <t>ESCUADRA DE COMBINACIÓN INGLESA DE 12 PULG 46-012</t>
  </si>
  <si>
    <t>ESCUADRA DE REFUERZO</t>
  </si>
  <si>
    <t>ESCUDO EMBELLECEDOR</t>
  </si>
  <si>
    <t>ESCUDO EMBELLECEDOR (NEGRO)</t>
  </si>
  <si>
    <t>ESLINGAS DE 6 ML POR 3° DE ANCHO</t>
  </si>
  <si>
    <t>ESMERIL DEWALT 7"</t>
  </si>
  <si>
    <t>ESMERILADORA ANGULAR DE 4-1/2" (115MM.) 900W</t>
  </si>
  <si>
    <t>ESPARRAGO 1/4 DE 1.00 MTS</t>
  </si>
  <si>
    <t>ESPARRAGO DE 1/4´´ X 3.66 MTS DE ACERO INOX</t>
  </si>
  <si>
    <t>ESPARRAGO DE 3/8" DE 1200MM. DE ACERO INOXIDABLE</t>
  </si>
  <si>
    <t>ESPARRAGO DE 3/8" X 5" DE ACERO INOXIDABLE</t>
  </si>
  <si>
    <t>ESPUMA EXPANSIVA POLIURETANO 750 ML TRUPER 10919</t>
  </si>
  <si>
    <t>ESQUINA DE CIERRE CON RESORTE</t>
  </si>
  <si>
    <t>ESQUINA DE PVC</t>
  </si>
  <si>
    <t xml:space="preserve">ESTIBADOR ELECTRICO PARA MODULOS DE BAMBU </t>
  </si>
  <si>
    <t>ESTOPA - TRAPOS</t>
  </si>
  <si>
    <t>ESTUCHE BROCAS ALTA VELOCIDAD</t>
  </si>
  <si>
    <t>EXTENSIÓN CORREDIZA</t>
  </si>
  <si>
    <t>EXTENSION ELECTRICA 15mts USO RUDO</t>
  </si>
  <si>
    <t>EXTENSIÓN ELÉCTRICA DE 10 MTS TIPO CARRETE, CALIBRE 16 AWG, CON 4 MULTICONTACTOS Y SWITCH + INDICADOR LED</t>
  </si>
  <si>
    <t>FAJAS</t>
  </si>
  <si>
    <t>FELPA CN TELA INTERIOR DE 7MM X 5MM</t>
  </si>
  <si>
    <t>FELPA DE 7X6 CON FILAMENTO NEGRO</t>
  </si>
  <si>
    <t>FELPA PARA CORREDIZOS</t>
  </si>
  <si>
    <t>FELPAS 4" RUGOSAS</t>
  </si>
  <si>
    <t>FESTER GROUT COSTAL 30 KG</t>
  </si>
  <si>
    <t>FIBRA SCOTCH VERDE-AMARILLA P-94 3M</t>
  </si>
  <si>
    <t>FILTRO DWMX1 DE 3M</t>
  </si>
  <si>
    <t>FLASJ COAT NF MATE BLANCO</t>
  </si>
  <si>
    <t>FLEXÓMETRO ABS 8 MTSX1 PULG 30-626 STANLEY</t>
  </si>
  <si>
    <t>FLEXOMETRO DE 10 METROS</t>
  </si>
  <si>
    <t>FLEXOMETRO TULMEX 3 MTR 93003M</t>
  </si>
  <si>
    <t>FLOJATODO DW 40</t>
  </si>
  <si>
    <t>FOCOS DE 100 W</t>
  </si>
  <si>
    <t>FOIL PROTECTOR DE 1.06 X 50 MTS BLANCO</t>
  </si>
  <si>
    <t>FOIL PROTECTOR DE 1.50 X 50 MTS BLANCO</t>
  </si>
  <si>
    <t>FOLIO PROTECTOR AZUL</t>
  </si>
  <si>
    <t>FOLIO PROTECTOR BLANCO</t>
  </si>
  <si>
    <t>FRANELA</t>
  </si>
  <si>
    <t>FRENTE QOC16U SOB</t>
  </si>
  <si>
    <t>FRESA EN V 1/2" X 1-1/8" X 2-3/8"</t>
  </si>
  <si>
    <t>GAFAS DE PROTECCION</t>
  </si>
  <si>
    <t>GAFAS DE PROTECCION CLARAS</t>
  </si>
  <si>
    <t>GAFAS DE SEGURIDAD NEGRAS</t>
  </si>
  <si>
    <t>GAFAS DE SEGURIDAD TRANSPARENTES</t>
  </si>
  <si>
    <t>GARRA DE LEON</t>
  </si>
  <si>
    <t>GARRA DE LEON NATIVA</t>
  </si>
  <si>
    <t>GARRUCHA LINDER DOBLE GIRATORIA #8 2500K</t>
  </si>
  <si>
    <t>GARRUCHA LINDER SENCILLA GIRATORIA #8 2500K</t>
  </si>
  <si>
    <t>GLADE AER. CAMPOS DE LAVANDA 400 ML</t>
  </si>
  <si>
    <t>GN-105 POL DESAGUE</t>
  </si>
  <si>
    <t>GOGLES DE SEGURIDAD</t>
  </si>
  <si>
    <t>GUANTE ALUMINERO</t>
  </si>
  <si>
    <t>GUANTE AZULES</t>
  </si>
  <si>
    <t>GUANTE CON PALMA DE NITRILO GRIS 7</t>
  </si>
  <si>
    <t>GUANTE NEGRO</t>
  </si>
  <si>
    <t>GUANTE NEGRO NYLON C/NITRILO NEGRO FORTE T-8</t>
  </si>
  <si>
    <t>GUANTE PALMA AZUL</t>
  </si>
  <si>
    <t>GUANTE PALMA NEGRA</t>
  </si>
  <si>
    <t>GUANTE PALMA NEGRO</t>
  </si>
  <si>
    <t>GUANTE PIEL</t>
  </si>
  <si>
    <t>GUANTE PÍEL SUAVE BLANCO</t>
  </si>
  <si>
    <t>GUANTE VIDRIERO</t>
  </si>
  <si>
    <t>GUANTES AZULES</t>
  </si>
  <si>
    <t>GUANTES DE POLIESTER RECUBRIMIENTO DE LATEX , CHICOS Y MEDIANOS</t>
  </si>
  <si>
    <t>GUANTES DE SEGURIDAD PARA VIDRIERO TALLA MEDIANOS</t>
  </si>
  <si>
    <t>GUANTES NEGRO</t>
  </si>
  <si>
    <t>GUANTES NEGROS</t>
  </si>
  <si>
    <t>GUANTES NEGROS DE USO GENERAL</t>
  </si>
  <si>
    <t>GUANTES NEGROS DE USO GENERAL, MEDIANOS Y CHICOS</t>
  </si>
  <si>
    <t>GUANTES PALMA AZUL</t>
  </si>
  <si>
    <t>GUANTES PALMA NEGRA</t>
  </si>
  <si>
    <t>GUANTES PARA VIDRIERO</t>
  </si>
  <si>
    <t>GUATES NEGROS DE TELA Y CON AISLANTE</t>
  </si>
  <si>
    <t>GUDELIA</t>
  </si>
  <si>
    <t>GUIA</t>
  </si>
  <si>
    <t>GUNTHER CARTUCHO</t>
  </si>
  <si>
    <t>GUNTHER ULTRABOND</t>
  </si>
  <si>
    <t>GUNTHER ULTRABOND MIRROR MASTIC</t>
  </si>
  <si>
    <t>GYNGER</t>
  </si>
  <si>
    <t>HERRAJE CON REDONDO D E 2” CON RANURA PARA COSTILLA D E19 MM Y DISCOS D E150 MM DE DIÁMETRO</t>
  </si>
  <si>
    <t>HERRAJE CON REDONDO DE 2” CON BARRENO PARA PASAR CABLE D E ACERO INOX Y DISCO DE 150MM.</t>
  </si>
  <si>
    <t>HERRAJE DE JALADERAS MARCA PHILLIPS: 444 MC</t>
  </si>
  <si>
    <t>HERRAJE DPT 10 INFERIOR</t>
  </si>
  <si>
    <t>HERRAJE DPT 20 SUPERIOR,</t>
  </si>
  <si>
    <t>HERRAJE INFERIOR OPCION</t>
  </si>
  <si>
    <t>HERRAJE PARA COSTILLA DE 19 MM DE PLACA DE 1/4 ACERO INOXIDABLE DE 150 MM X600 MM CON 8 CHAPETONES D E1 1/2 Y DISCOS DE 160 MM</t>
  </si>
  <si>
    <t>HERRAJE PARA REMATE CON DISCO DE 150 MM DE DIÁMETRO CON CONECTOR TIPO PIPA DE MURO A CRISTAL</t>
  </si>
  <si>
    <t>HERRAJE PARA SUJECION DE MODULO BAMBOO</t>
  </si>
  <si>
    <t>HERRAJE SUPERIOR OPCION</t>
  </si>
  <si>
    <t>HERRAJE TUBULAR DE ACERO INOX. DE 1 1/2" PARA SOPORTE DE VIDRIO DE 19 MM:</t>
  </si>
  <si>
    <t>HERRAJES PARA CANCEL GLASS DEF NATUAL MATE</t>
  </si>
  <si>
    <t>HIG.DALIA (HD180) C/12 (HB19318)</t>
  </si>
  <si>
    <t>HOJA DE MDF DE 1.22M X 2.44M DE 9.5MM ESP.</t>
  </si>
  <si>
    <t>HOJA DE PANEL DE ALUMINIO 4 MM COLOR NEGRO</t>
  </si>
  <si>
    <t>HOJA DE TRIPLAY DE PINO DE 1.22 MTS X 2.44 MTS X 6 MM DE ESPESOR</t>
  </si>
  <si>
    <t>HOJA DE VIDRIO 1.80 X 2.60 MM CLARO</t>
  </si>
  <si>
    <t>HONGO CHICO</t>
  </si>
  <si>
    <t>HONGO GRANDE</t>
  </si>
  <si>
    <t>HONGO MEDIANO</t>
  </si>
  <si>
    <t>INTERMEDIO DE 1 3/4" X 3"</t>
  </si>
  <si>
    <t>INTERRUPTOR SENCILLO 15A 127V~ 1MOD BLANCO</t>
  </si>
  <si>
    <t>INTERRUPTOR TERMOMAGNETICO QO 1P 20A</t>
  </si>
  <si>
    <t>INTERRUPTOR TERMOMAGNETICO QO 1P 30A</t>
  </si>
  <si>
    <t>INTERRUPTOR TERMOMAGNETICO SQUARE DE 3X100 AMPERS</t>
  </si>
  <si>
    <t>JABON DE POLVO</t>
  </si>
  <si>
    <t>JABON JAZMIN 4LTS.GEL KLEEN</t>
  </si>
  <si>
    <t>JABON LIQUIDO PARA MANOS</t>
  </si>
  <si>
    <t>JALADERA DE EMBUTIR</t>
  </si>
  <si>
    <t>JALADERA DE REFUERZO</t>
  </si>
  <si>
    <t>JALADERA TIPO " H" 1500MM.</t>
  </si>
  <si>
    <t>JALADERA TIPO H REDONDA CON CERRADURA 1500 MM.</t>
  </si>
  <si>
    <t>JALADERA TIPO H REDONDA
CON CERRADURA 1230 MM</t>
  </si>
  <si>
    <t>JALADERA TIPO POMO</t>
  </si>
  <si>
    <t>JALADERA TOALLERO</t>
  </si>
  <si>
    <t>JALADERA TOALLERO TUBULAR 6X18"</t>
  </si>
  <si>
    <t>JALADERA TROMPA DE ELEFANTE</t>
  </si>
  <si>
    <t>JALADERA TUBULAR SIMPLE ´´C´´ DE 18´´</t>
  </si>
  <si>
    <t>JALADOR</t>
  </si>
  <si>
    <t>JALADOR LIMPIAVIDRIOS 2 EN 1: GOMA Y ESPONJA</t>
  </si>
  <si>
    <t>JAMBA 2 VIAS</t>
  </si>
  <si>
    <t>JAMBA 2"</t>
  </si>
  <si>
    <t>JAMBA LATERAL</t>
  </si>
  <si>
    <t>JAMBA S70</t>
  </si>
  <si>
    <t>JERGAS</t>
  </si>
  <si>
    <t>JGO. DE TUERCA Y RONDANAS PLANA Y DE PRESIÓN DE 3/8" DE ACERO INOXIDABLE</t>
  </si>
  <si>
    <t>JUEGO DE 5 PUNTAS DWAF2PH2IR5 DEWALT ACCESORIOS</t>
  </si>
  <si>
    <t>JUEGO DE ÁNGULOS TIPO TITÁN
CON TAPAS DE CUBIERTA Y TORNILLERÍA</t>
  </si>
  <si>
    <t>JUEGO DE BROCAS PARA METAL 11/64</t>
  </si>
  <si>
    <t>JUEGO DE BROCAS PARA METAL 3/16</t>
  </si>
  <si>
    <t>JUEGO DE BROCAS PARA METAL 9/64</t>
  </si>
  <si>
    <t>JUEGO DE EXTRACTORES DE TORNILLOS Y BROCAS</t>
  </si>
  <si>
    <t>JUEGO DE LIMAS</t>
  </si>
  <si>
    <t>JUEGO DE LLAVES ALLEN</t>
  </si>
  <si>
    <t>JUEGO DE LLAVES ESPAÑOLAS MILIMETRICAS COMBINADAS</t>
  </si>
  <si>
    <t>JUEGO DE PINZAS 6"</t>
  </si>
  <si>
    <t>JUMBO MOP DE ALGODÓN VILEDA</t>
  </si>
  <si>
    <t>JUNQUILLO DE 3"</t>
  </si>
  <si>
    <t>JUNQUILLO S70</t>
  </si>
  <si>
    <t>KIT DE BATERÍAS + CARGADOR DEWALT DCB 205-2KC 20 VOLTS, 2 AMP</t>
  </si>
  <si>
    <t>KIT DE CALZAS, CONTRAS Y TORNILLOS</t>
  </si>
  <si>
    <t>KIT DE CONTRAS (3 PIEZAS)</t>
  </si>
  <si>
    <t>KIT DE HERRAJES DGPT DORMA PARA PUERTA DE CRISTAL CON CIERRAPUERTAS</t>
  </si>
  <si>
    <t>KIT DE RODAJAS PARA SISTEMA DE SUSPENSIÓN CON CONTRAPESOS</t>
  </si>
  <si>
    <t>KIT DE TALADRO ROTOMARTILLO Y LLAVE DE IMPACTO DE 18 V MILWAUKEE</t>
  </si>
  <si>
    <t>FRENO ANTICAÍDAS CABLE DE ACERO 3/8  N623/N244</t>
  </si>
  <si>
    <t>KIT GANCHOS MULTIPUNTO</t>
  </si>
  <si>
    <t>KIT PARA CIERRE SUPERIOR A CRISTAL</t>
  </si>
  <si>
    <t>KIT PARA CONVERSIÓN A SEV 600</t>
  </si>
  <si>
    <t>KIT PUNTAS CRUZ PH 2 X 2 1/2" DOBLES 8PZA 260</t>
  </si>
  <si>
    <t>LAMINA ACANALADA (LA MAS ECONOMICA) DE 1.22 X 3.05 ML</t>
  </si>
  <si>
    <t>LAMINA GALVANIZADA CAL. 24</t>
  </si>
  <si>
    <t>LANA MINERAL CORTA FUEGO DE 0.61 X 1.22 X 2" DE ESPESOR FF-96</t>
  </si>
  <si>
    <t>LÁSER AUTO-NIVELANTE EN CRUZ CON 2 PUNTOS LUZ ROJA DW0822 DEWALT</t>
  </si>
  <si>
    <t>LASER DE DOBLE LINEA Y PUNTO DEWALT</t>
  </si>
  <si>
    <t>LASER DEWALT</t>
  </si>
  <si>
    <t>LATA DE ESPUMA DE POLIURETANO</t>
  </si>
  <si>
    <t>LATA DE PINTURA EN AEROSOL PARA DETALLES</t>
  </si>
  <si>
    <t>LAVATRAS AXION FUSION-LIMON 1.4</t>
  </si>
  <si>
    <t>LENTES DE SEGURIDAD OBSCUROS</t>
  </si>
  <si>
    <t xml:space="preserve">LENTES DE SEGURIDAD TRANSPARENTES </t>
  </si>
  <si>
    <t>LIJA OXIDO DE ALUMINIO GRADO 100</t>
  </si>
  <si>
    <t>LIMA PLANA MUZA DE 14</t>
  </si>
  <si>
    <t>LINEA DE VIDA CON AMORTIGUADOR</t>
  </si>
  <si>
    <t>LINEA DE VIDA DE DOBLE PUNTO DE ANCLAJE Y AMORTIGUADOR DE CAIDA</t>
  </si>
  <si>
    <t>LINEAS DE VIDA</t>
  </si>
  <si>
    <t>LIQUIDO LIMPIADOR MULTIUSOS PARA  Y/O SUPERFICIES 5 LTS</t>
  </si>
  <si>
    <t>LLAVE ESPAÑOLA CON MATRACA DE 5/8"</t>
  </si>
  <si>
    <t>LLAVE HEXAGONAL SHOCKWAVE PARA TUERCAS 3/8"X 2 9/16 PULGADAS MILWAUKEE</t>
  </si>
  <si>
    <t>LTH AGM LA BATERÍA ES DE GEL, ALTA TECNOLOGÍA CON 5 AÑOS DE GARANTÍA A CAMBIO DE LA BATERÍA USADA.</t>
  </si>
  <si>
    <t>LUMINARIO EMPOTRAR/SUSPENDIDO PANEL LED 45W 100-240V 110G 65</t>
  </si>
  <si>
    <t>MACETA</t>
  </si>
  <si>
    <t>MACHUELO 1/4 PULG TRIUMPH</t>
  </si>
  <si>
    <t>MACHUELO DE ACERO DE ALTA VELOCIDAD 3/8 - 16NC</t>
  </si>
  <si>
    <t>MAKHER LIJADORA DE BANDA 4X24" 1200W 500 M/MIN</t>
  </si>
  <si>
    <t>MALLA CICLON GALV. CAL12.5 X 2.50 M55</t>
  </si>
  <si>
    <t>MALLA DE SEGURIDAD</t>
  </si>
  <si>
    <t>MANERAL PARA MACHUELO AJUSTABLE 3/32" A 3/8"</t>
  </si>
  <si>
    <t>MANGUERA DE POLIURETANO DE 8"</t>
  </si>
  <si>
    <t>MANGUERA P/AIRE AGUA ACEITE 3/4" 500</t>
  </si>
  <si>
    <t>MANIJA MARTELLINA ITALIA DE 44 MM. LÍNEA AW-120</t>
  </si>
  <si>
    <t>MANILLA</t>
  </si>
  <si>
    <t>MANILLA CON MUELLE (TIPO F-204) NEGRA B12 C24</t>
  </si>
  <si>
    <t>MANILLA DE PRESION AMBID H.ESTRECHA S.35 S.70 NEGRO C10</t>
  </si>
  <si>
    <t>MANILLA DOBLE</t>
  </si>
  <si>
    <t>MANILLA DOBLE CON MUELLE NEGRA B12 C24</t>
  </si>
  <si>
    <t>MANILLA PARA VENTILA F 203 COLOR NEGRO</t>
  </si>
  <si>
    <t>MAQUINA PARA RANURA DE MARMOL</t>
  </si>
  <si>
    <t>MARCO FIJO</t>
  </si>
  <si>
    <t>MARCO VENTILA</t>
  </si>
  <si>
    <t>MARCO ZOCLO</t>
  </si>
  <si>
    <t>MARTILLO 10 OZ</t>
  </si>
  <si>
    <t>MARTILLO DEMOLEDOR 1-1/8 PULG 960W SDS 5268-21 MILWAUKEE</t>
  </si>
  <si>
    <t>MARTILLO DEMOLEDOR 800W VVR SDS PLUS HR2810 MAKITA</t>
  </si>
  <si>
    <t>MARTILLO DEMOLEDOR MD1200 OAKLAND</t>
  </si>
  <si>
    <t>MARTILLO ROTATORIO 800W VV SDS PLUS HR2600 MAKITA</t>
  </si>
  <si>
    <t>MASKING AZUL DE 1"</t>
  </si>
  <si>
    <t>MASKING AZUL DE 3/4"</t>
  </si>
  <si>
    <t>MASKING TAPE</t>
  </si>
  <si>
    <t>MASKING TAPE 3/4</t>
  </si>
  <si>
    <t>MASKING TAPE 3M</t>
  </si>
  <si>
    <t>MASKING TAPE AZUL</t>
  </si>
  <si>
    <t>MASKING TAPE DE 18MM X 50 ML AZUL</t>
  </si>
  <si>
    <t>MASKING TAPE DE 3/4" EN ROLLO DE 50 MTS.</t>
  </si>
  <si>
    <t>MAZO CON CABEZA DE HULE 16", 22 OZ 1368 URREA</t>
  </si>
  <si>
    <t>MAZO DE GOMA 16 OZ</t>
  </si>
  <si>
    <t>MCGC12.52.5063] MALLA CICLON GALV. CAL12.5 X 2.50 M63 - 20 MTS</t>
  </si>
  <si>
    <t>MDF 18MM</t>
  </si>
  <si>
    <t>MDF 9MM 1.22 X 2.44</t>
  </si>
  <si>
    <t>MEDIA LUNA CHICA</t>
  </si>
  <si>
    <t>MEDIDOR LASER 30 MTS</t>
  </si>
  <si>
    <t>MEMORIA RAM 16GB</t>
  </si>
  <si>
    <t>MESA TRABAJO PORTATIL TOUGHBUILT 998KG</t>
  </si>
  <si>
    <t>MILACC PUNTA TORX T30 X 2"</t>
  </si>
  <si>
    <t>MILHER COMBO M18 ROTOMARTILLO 1/2" 2904-20 Y LLAVE DE IMPACTO 1/4" 2953-20</t>
  </si>
  <si>
    <t>MILWAUKEE 3622-20 M12 GREEN CROSS LINE AND PLUMB POINTS LASER</t>
  </si>
  <si>
    <t>MILWAUKEE PUNTA TORX T25 X 2 CODIGO 48-32-4485</t>
  </si>
  <si>
    <t>MINI REPUESTO INDUSTRIAL 4"</t>
  </si>
  <si>
    <t>MINIESMERILADORA 4 ½” 20V AA-2223 OAKLAND</t>
  </si>
  <si>
    <t>MINIESMERILADORA 5 PULG 20V DCG412B DEWALT</t>
  </si>
  <si>
    <t>MINIESMERILADORA ANGULAR 4-1/2 PULG 840W 9557HPG MAKITA</t>
  </si>
  <si>
    <t>MOSQUETON OVAL DE ALUMINIO CON KEY LOCK</t>
  </si>
  <si>
    <t>MOSQUITERO</t>
  </si>
  <si>
    <t>MULLION</t>
  </si>
  <si>
    <t>MULTIPUNTO</t>
  </si>
  <si>
    <t>MULTIPUNTO MAC 6 DE HERRAJES EUROPEOS</t>
  </si>
  <si>
    <t>MULTIPUNTO MAC 600 MM DE LARGO</t>
  </si>
  <si>
    <t>MULTIPUNTO MAC DE 1,600 MM DE LARGO</t>
  </si>
  <si>
    <t>MULTIPUNTO, 3 PUNTOS DE CIERRE DE 1800MM</t>
  </si>
  <si>
    <t>NEOPRENO DE 6 MM</t>
  </si>
  <si>
    <t>NEOPRENO DE 6 MM DE ESPESOR LAMINA DE 1 M X 1 M</t>
  </si>
  <si>
    <t>NEUMATICO IMPONCHABLE 10" X 3 1/2"</t>
  </si>
  <si>
    <t>NIPLE TIPO BOTELLA</t>
  </si>
  <si>
    <t>NIVEL CLASIC NP-38</t>
  </si>
  <si>
    <t>NIVEL DE LASER LINEAS VERDES CRUZADAS</t>
  </si>
  <si>
    <t>NIVEL LASER DE 3X360° LUZ VERDE 12V DW089LG DEWALT</t>
  </si>
  <si>
    <t>NIVEL LASER DW088LG DEWALT</t>
  </si>
  <si>
    <t>NIVELETA DE 24"</t>
  </si>
  <si>
    <t>NUDO PARA CABLES DE 3/8"</t>
  </si>
  <si>
    <t>NUEVO SOKKIA B40 NIVEL AUTOMATICO PARA TOPOGRAFIA (24X) CON TRIPIE.</t>
  </si>
  <si>
    <t>OLLAS MATA ORTIZ VARIAS 305MATAO4000</t>
  </si>
  <si>
    <t>OXIDO DE CERIO BLANCO</t>
  </si>
  <si>
    <t>OXIDO DE CERIO TABACO</t>
  </si>
  <si>
    <t>P205/55R17 CONTINENTAL CONTIPREMIUM CONTACT 2 91V BLK</t>
  </si>
  <si>
    <t>PALA CUADRADA</t>
  </si>
  <si>
    <t>PALLETS DE MADERA USADOS DE PRIMERA CALIDAD MEDIDA ESTÁNDAR DE 1.20 MTS X 1.00 MTS</t>
  </si>
  <si>
    <t>PANEL DE ALUMINIO ACABADO PURG WHITE (BL)</t>
  </si>
  <si>
    <t>PANEL DE ALUMINIO ACABADO RAT SILVER</t>
  </si>
  <si>
    <t>PANEL DE ALUMINIO ACABADO SILVER GRAY</t>
  </si>
  <si>
    <t>PANEL DE ALUMINIO ACABADO SILVER METALLIC</t>
  </si>
  <si>
    <t>PANEL DE ALUMINIO DE 1.25 X 4.90 MTS. DE 4MM. DE ESPESOR</t>
  </si>
  <si>
    <t>PANEL DE ALUMINIO DE 4 MM DE ESPESOR , EN ACABADO NEGRO MATE CON UNA DIMENSION DE HOJA DE 1270 MM X 3100 MM.</t>
  </si>
  <si>
    <t>PAPEL BOND DOBLE CARTA</t>
  </si>
  <si>
    <t>PAPEL HIGIENICO</t>
  </si>
  <si>
    <t>PAQ. TOA.INT.DALITAS(TI19800) C/100</t>
  </si>
  <si>
    <t xml:space="preserve">PAQUETERIA </t>
  </si>
  <si>
    <t>PAR DE BOTAS DE SEGURIDAD # 5</t>
  </si>
  <si>
    <t>PAR DE BOTAS DE SEGURIDAD # 6</t>
  </si>
  <si>
    <t>PAR DE GUANTES DERMACARE PARA ALUMINIO</t>
  </si>
  <si>
    <t>PASADOR C/EXT. 290 MM AC. INOX. SATINADO</t>
  </si>
  <si>
    <t>PASTILLAS</t>
  </si>
  <si>
    <t>PERFIL BAH-03</t>
  </si>
  <si>
    <t>PERFIL CLB-10 (RIEL)</t>
  </si>
  <si>
    <t>PERFIL CLR-07 (JAMBA)</t>
  </si>
  <si>
    <t>PERFIL CPO-05 (TAPA) POPOCATEPETL</t>
  </si>
  <si>
    <t>PERFIL DIVISION MARCO 90 MM CLAVE 9407</t>
  </si>
  <si>
    <t>PERFIL GUÍA</t>
  </si>
  <si>
    <t>PERFIL GUÍA P/HOJA CORREDIZA HEG-110</t>
  </si>
  <si>
    <t>PERFIL HEG-04 SERIE110</t>
  </si>
  <si>
    <t>PERFIL HEG-05 SERIE 110</t>
  </si>
  <si>
    <t>PERFIL HEG-11 SERIE 110</t>
  </si>
  <si>
    <t>PERFIL HLB-02 (CERCO)</t>
  </si>
  <si>
    <t>PERFIL HLB-03 (ZOCLO-CABEZAL)</t>
  </si>
  <si>
    <t>PERFIL HLB-09 (TRASLAPE)</t>
  </si>
  <si>
    <t>PERFIL HORIZONTAL GLASS DEF NATURAL MATE TRAMO DE 1.52 MTS</t>
  </si>
  <si>
    <t>PERFIL INTERMEDIO CLAVE 8437</t>
  </si>
  <si>
    <t>PERFIL JAMBA</t>
  </si>
  <si>
    <t>PERFIL OXXO</t>
  </si>
  <si>
    <t>PERFIL PARA BRIDA DE BARANDALES</t>
  </si>
  <si>
    <t>PERFIL TAPA</t>
  </si>
  <si>
    <t>PERFIL VERTICAL GLASS DEF NATURAL MATE TRAMO DE 2 MTS</t>
  </si>
  <si>
    <t>PETZL ASAP ANTICAIDAS DESLIZANTE PARA CUERDA</t>
  </si>
  <si>
    <t>PIJA #10X1 1/2" CABEZA FIJADORA</t>
  </si>
  <si>
    <t>PIJA #12 X 1 1/2" CABEZA FIJADORA</t>
  </si>
  <si>
    <t>PIJA #14 X 1" CABEZA HEXAGONAL</t>
  </si>
  <si>
    <t>PIJA #8 X 3/4" CABEZA FIJADORA PHILLIPS</t>
  </si>
  <si>
    <t>PIJA CABEZA  HEXAGONAL 1/4" X 1 1/4"</t>
  </si>
  <si>
    <t>PIJA CABEZA DE GALLETA PERO ES DE #10 X 1 1/2</t>
  </si>
  <si>
    <t>PIJA CABEZA DE GOTA 10 X 1"</t>
  </si>
  <si>
    <t>PIJA CABEZA DE GOTA 10 X 2"</t>
  </si>
  <si>
    <t>PIJA CABEZA DE GOTA 10 X 3/4"</t>
  </si>
  <si>
    <t>PIJA CABEZA DE GOTA 8 X 1 1/2"</t>
  </si>
  <si>
    <t>PIJA CABEZA DE GOTA 8 X 3/4"</t>
  </si>
  <si>
    <t>PIJA CABEZA FIJADORA DE 10 X 1 1/2´´</t>
  </si>
  <si>
    <t>PIJA CABEZA FIJADORA DEL NO. 10 (3/16") X 1" DE ACERO INOXIDABLE</t>
  </si>
  <si>
    <t>PIJA CABEZA FIJADORA DEL. NO. 10 X 1" DE ACERO INOXIDABLE</t>
  </si>
  <si>
    <t>PIJA CABEZA FIJADORA PHILLIPS DEL NO.8 X 1" DE ACERO INOXIDABLE</t>
  </si>
  <si>
    <t>PIJA CABEZA FIJADORA PHILLIPS DEL NO.8 X 3/4"</t>
  </si>
  <si>
    <t>PIJA CABEZA FIJADORA PHILLIPS DEL NO.8 X 3/4" DE ACERO INOXIDABLE</t>
  </si>
  <si>
    <t>PIJA CABEZA FIJADORA PHILLIPS DEL. NO. 10 (3/16") X 1" DE ACERO INOXIDABLE</t>
  </si>
  <si>
    <t>PIJA CABEZA FIJADORA PHILLIPS DEL. NO. 10 X 1" DE ACERO INOXIDABLE</t>
  </si>
  <si>
    <t>PIJA CABEZA HEXAGONAL 1/4" X 1"</t>
  </si>
  <si>
    <t>PIJA CABEZA HEXAGONAL DE 10 X 1 1/2" PUNTA DE BROCA</t>
  </si>
  <si>
    <t>PIJA CABEZA HEXAGONAL DE 10 X 1" PUNTA DE BROCA</t>
  </si>
  <si>
    <t>PIJA CABEZA HEXAGONAL DE 14 X 1 1/2´´</t>
  </si>
  <si>
    <t>PIJA CABEZA HEXAGONAL DEL NO. 14 X 1 1/2" DE ACERO INOXIDABLE</t>
  </si>
  <si>
    <t>PIJA CABEZA HEXAGONAL PARA CONCRETO 1/4 X 2 3/4</t>
  </si>
  <si>
    <t>PIJA CABEZA HEXAGONAL PUNTA DE BROCA DE 10 X 1´´</t>
  </si>
  <si>
    <t>PIJA CABEZA PLANA #10 X 1 1/2"</t>
  </si>
  <si>
    <t>PIJA CABEZA PLANA 10 X 3"</t>
  </si>
  <si>
    <t>PIJA CABEZA PLANA 10 X 3/4"</t>
  </si>
  <si>
    <t>PIJA CABEZA PLANA 8 X 1/2"</t>
  </si>
  <si>
    <t>PIJA CABEZA PLANA 8 X 3/4"</t>
  </si>
  <si>
    <t>PIJA CABEZA PLANA DE 10X1"</t>
  </si>
  <si>
    <t>PIJA CABEZA PLANA DE 10X2"</t>
  </si>
  <si>
    <t>PIJA CABEZA PLANA DE 8 X 3/4"</t>
  </si>
  <si>
    <t>PIJA CABEZA PLANA PHILLIPS DEL NO. 10 (3/16") X 1" DE ACERO INOXIDABLE</t>
  </si>
  <si>
    <t>PIJA CABEZA PLANA PHILLIPS DEL NO. 10 (3/16") X 2" DE ACERO INOXIDABLE</t>
  </si>
  <si>
    <t>PIJA CABEZA PLANA PHILLIPS DEL NO. 10 X 1 1/2" DE ACERO INOXIDABLE</t>
  </si>
  <si>
    <t>PIJA CABEZA PLANA PHILLIPS DEL. NO. 10 (3/16") X 3/4" DE ACERO INOXIDABLE</t>
  </si>
  <si>
    <t>PIJA CABEZA PLANA PHILLIPS DEL. NO. 8 X 3/4" DE ACERO INOXIDABLE</t>
  </si>
  <si>
    <t>PIJA DE 10 X 1" HEXAGONAL</t>
  </si>
  <si>
    <t>PIJA DEL 10X1 CABEZA FIJADORA</t>
  </si>
  <si>
    <t>PIJA DEL 10X2 CABEZA PLANA</t>
  </si>
  <si>
    <t>PIJA DEL 8X1/2 CABEZA FIJADORA</t>
  </si>
  <si>
    <t>PIJA FIJADORA 10 X 3"</t>
  </si>
  <si>
    <t>PIJA FIJADORA 10 X 3/4</t>
  </si>
  <si>
    <t>PIJA FIJADORA DE 10 X 1 1/2" GOTA</t>
  </si>
  <si>
    <t>PIJA FIJADORA DE 10 X 1" GOTA</t>
  </si>
  <si>
    <t>PIJA FIJADORA DE 8 X 1/2" TIPO GALLETA</t>
  </si>
  <si>
    <t>PIJA FIJADORA DEL 8 X 3/4" DE ACERO INOX</t>
  </si>
  <si>
    <t>PIJA HEXAGONAL PUNTA DE BROCA DE 14 X 2</t>
  </si>
  <si>
    <t>PIJA HEXAGONAL PUNTA DE BROCA DE 14 X 3</t>
  </si>
  <si>
    <t>PIJA PHILLIPS DEL 10 X 1 1/2" CABEZA FIJADORA</t>
  </si>
  <si>
    <t>PIJA PLANA DE 10 X 1/2"</t>
  </si>
  <si>
    <t>PIJA PLANA DEL 10 X 1" DE ACERO INOX</t>
  </si>
  <si>
    <t>PINOL 3.785 LITROS</t>
  </si>
  <si>
    <t>PINOL 9 LTS</t>
  </si>
  <si>
    <t>PINTURA BLANCO RAL 9010</t>
  </si>
  <si>
    <t>PINTURA EN ANGULO DE ALUMINIO DE 23 MM X 17 MM X 6 MM DE ESPESOR</t>
  </si>
  <si>
    <t>PINTURA EN ANGULO DE ALUMINIO DE 53 MM X 17 MM X 6 MM DE ESPESOR</t>
  </si>
  <si>
    <t>PINTURA EN ANGULO DE ALUMINIO DE 54 MM X 12 MM X 6 MM DE ESPESOR</t>
  </si>
  <si>
    <t>PINTURA EN ANGULO DE ALUMINIO DE 55 MM X 17 MM X 6 MM DE ESPESOR</t>
  </si>
  <si>
    <t>PINTURA EN POLVO TIGER BENGAL SILVER</t>
  </si>
  <si>
    <t>PINTURA GRIS EUROPA 049/84340</t>
  </si>
  <si>
    <t>PINZA DE PRESIÓN 10-R VISE-GRIP</t>
  </si>
  <si>
    <t>PINZA DE PRESIÓN 11-SP VISE-GRIP</t>
  </si>
  <si>
    <t>PINZA ER40 1/4"</t>
  </si>
  <si>
    <t>PINZA PRESION PARA PRENSA C11 PUNTAS GIRATORIAS VISE GRIP 20</t>
  </si>
  <si>
    <t>PINZAS DE PRESION</t>
  </si>
  <si>
    <t>PINZAS DE PRESION TIPO C</t>
  </si>
  <si>
    <t>PIÑANONA</t>
  </si>
  <si>
    <t>PISETAS DE SEGURIDAD</t>
  </si>
  <si>
    <t>PISTOLA PARA CALAFATEAR</t>
  </si>
  <si>
    <t>PISTOLA REFORZADA CON VARILLA</t>
  </si>
  <si>
    <t>PIVOTE DPT 24 SUPERIOR,</t>
  </si>
  <si>
    <t>PLACA 1M BLANCO C/CHASIS RESINA BLANCO</t>
  </si>
  <si>
    <t>PLACA 3M BLANCO C/CHASIS RESINA</t>
  </si>
  <si>
    <t>PLACA ACERO DE 1/4" DE 1.22 X 3.05 MTS</t>
  </si>
  <si>
    <t>PLACA DE NEOPRENO DE 1 MT X 1 MT X 1.5 MM DE ESPESOR EN COLOR NEGRO</t>
  </si>
  <si>
    <t>PLACA DE NEOPRENO DE 1 MT X 1 MT X 3 MM DE ESPESOR EN COLOR NEGRO</t>
  </si>
  <si>
    <t>PLACA DE NEOPRENO DE 1 MT X 1 MT X 6 MM DE ESPESOR EN COLOR NEGRO</t>
  </si>
  <si>
    <t>PLACA HOJA A-572-50 1/4"</t>
  </si>
  <si>
    <t>PLACA NYLON CONTACTO DOBLE BLANCO</t>
  </si>
  <si>
    <t>PLATAFORMA DE ELEVACIÓN 5.0M</t>
  </si>
  <si>
    <t>PLATAFORMA PARA ANDAMIO</t>
  </si>
  <si>
    <t>PLATAFORMA TABLON 0.60 X 1.73 M.</t>
  </si>
  <si>
    <t>PLAYERAS DE HEG MANGA LARGA</t>
  </si>
  <si>
    <t>PLAYO TRANSPARENTE</t>
  </si>
  <si>
    <t>PLAYO TRANSPARENTE 18"</t>
  </si>
  <si>
    <t>POLEA GARRUCHA DOBLE DOGOTULS GIRATORIA 3" CAPACIDAD 500 KG.</t>
  </si>
  <si>
    <t>POLEA GARRUCHA SENCILLA DOGOTULS GIRATORIA 3" CAPACIDAD 500 KG.</t>
  </si>
  <si>
    <t>POLIN DE PINO PARA CIMBRA DE 7.62 CM X 2.44 MTS DE LARGO</t>
  </si>
  <si>
    <t>POLIN DE SEGUNDA</t>
  </si>
  <si>
    <t>POLIURETANO BLANCO</t>
  </si>
  <si>
    <t>POSTE DE PLACA DE ALUMINIO DE 1"X2" CON 2 CONECTORES PARA CRISTAL Y 3 PUNTOS DE FIJACION ACABADO SATINADO</t>
  </si>
  <si>
    <t xml:space="preserve">POSTE DE SOLERA DE 1/4" X 2655 MM </t>
  </si>
  <si>
    <t xml:space="preserve">POSTE DE SOLERA DE 1/4" X 6" X 1805 MM </t>
  </si>
  <si>
    <t>PRENSA DE RESORTE P/ CARPINTERO 8"</t>
  </si>
  <si>
    <t>PRENSA PARA TALADRO 6"</t>
  </si>
  <si>
    <t>PRESOR (PERRO) PARA CABLE DE ACERO DE 3/8"</t>
  </si>
  <si>
    <t>PRIMER 3M N94</t>
  </si>
  <si>
    <t>PRODUCTO DE LAVANDERIA JABON ROMA</t>
  </si>
  <si>
    <t>PROTECTORES DE HOJAS OFFICE</t>
  </si>
  <si>
    <t>PTR DE 2´´X 2´´ X 6 MTS CAL. 18</t>
  </si>
  <si>
    <t>PULIDORA DE 4" CON TOLVA Y FIELTRO 150X40X70</t>
  </si>
  <si>
    <t>PUNTA DE IMPACTO #2 SHOCWAVE MILWAUKEE ACERO DE 3 1/2"</t>
  </si>
  <si>
    <t>PUNTA PARA DESTORNILLADOR DE IMPACTO TORX DE ACERO DE 2" (T30)</t>
  </si>
  <si>
    <t>PUNTA TORX T25 X 2"</t>
  </si>
  <si>
    <t>PUNTOS DE CIERRE / BULONES</t>
  </si>
  <si>
    <t>RADIO HYT TC508</t>
  </si>
  <si>
    <t>RADIOS DE COMUNICACIÓN</t>
  </si>
  <si>
    <t>RECOGEDOR</t>
  </si>
  <si>
    <t>REDUCTOR DE ROUTER 1 -/2" A 1/4"</t>
  </si>
  <si>
    <t>REFLECTOR LED 50 W LUZ BLANCA PARA EXTERIOR</t>
  </si>
  <si>
    <t>REFLECTOR LED DE 100 WATSS, 10000 LUMENES</t>
  </si>
  <si>
    <t>REFUERZO JALADERA</t>
  </si>
  <si>
    <t>REMACHADORA P/TUERCA INSERTO</t>
  </si>
  <si>
    <t>REPUESTO PARA CUTTER (NAVAJAS)</t>
  </si>
  <si>
    <t>RESPALDO BARANDAL</t>
  </si>
  <si>
    <t>RESPALDO CRISTAL</t>
  </si>
  <si>
    <t>RESPALDO SERVILLETEROS</t>
  </si>
  <si>
    <t>RESPIRADOR MOLDEX 1100</t>
  </si>
  <si>
    <t>RESPIRADOR NEGRO DESECHABLE P/POLVOS Y PARTICULAS KN95</t>
  </si>
  <si>
    <t>RIEL CABEZAL S70</t>
  </si>
  <si>
    <t>RIEL INFERIO 2 VIAS</t>
  </si>
  <si>
    <t>RIEL INFERIOR</t>
  </si>
  <si>
    <t>RIEL SUPERIO 2 VIAS</t>
  </si>
  <si>
    <t>RIEL SUPERIOR</t>
  </si>
  <si>
    <t>ROCHAS DE 2" (PARA LIMPIEZA DE MAQUINAS)</t>
  </si>
  <si>
    <t>RODILLERAS DE SEGURIDAD</t>
  </si>
  <si>
    <t>ROLLO BAJO ALFOMBRA DE 1/32" x 2 METROS x 300 METROS</t>
  </si>
  <si>
    <t>RONDANA DE NYLAMID DE 1/4´´ DE ESPESOR DIAM INTERIOR. 3/8´´, DIAMETRO EXTERIOR 1´´</t>
  </si>
  <si>
    <t>RONDANA DE PRESIÓN 1/4"</t>
  </si>
  <si>
    <t>RONDANA DE PRESIÓN DE 1/4" DE ACERO INOXIDABLE</t>
  </si>
  <si>
    <t>RONDANA DE PRESION DE 3/8"</t>
  </si>
  <si>
    <t>RONDANA DE PRESION GALVANIZADA PARA TORNILLO DE 1/2"</t>
  </si>
  <si>
    <t>RONDANA NAYLAMIN DE 19 MM X 2 MM DE 1/4</t>
  </si>
  <si>
    <t>RONDANA NYLAMIN DE 19 MM X 2 MM DE 1/2"</t>
  </si>
  <si>
    <t>RONDANA PLANA  PARA TORNILLO DE 3/8"</t>
  </si>
  <si>
    <t>RONDANA PLANA 1/2"</t>
  </si>
  <si>
    <t>RONDANA PLANA 1/4</t>
  </si>
  <si>
    <t>RONDANA PLANA ACERO INOX 3/8</t>
  </si>
  <si>
    <t>RONDANA PLANA GALVANIZADA DE 3/8</t>
  </si>
  <si>
    <t>RONDANA PLANA GALVANIZADA PARA TORNILLO DE 1/2"</t>
  </si>
  <si>
    <t>ROTOMARTILLO 1/2 PULG 640W VVR 5374-20 MILWAUKEE</t>
  </si>
  <si>
    <t>ROTOMARTILLO BRUSHLESS 20V SDS PLUS 3 MODOS</t>
  </si>
  <si>
    <t>ROTOMARTILLO CINCELADOR 960W VVR 5262-21 MILWAUKEE</t>
  </si>
  <si>
    <t>ROTOMARTILLO DE 1/2 120V</t>
  </si>
  <si>
    <t>ROTOMARTILLO DEMOLEDOR SDS-PLUS USO RUDO</t>
  </si>
  <si>
    <t>ROTOMARTILLO MILWAUKEE</t>
  </si>
  <si>
    <t>ROTOMARTILLO SDS PLUS 1 PULG 800W 3 MODOS D25260K-</t>
  </si>
  <si>
    <t>ROTULA CON TAPA 14 MM</t>
  </si>
  <si>
    <t>ROUTER 1 HP 760W 3606 MAKITA</t>
  </si>
  <si>
    <t>RUEDA DE 8" CON FRENO</t>
  </si>
  <si>
    <t>SANITAS CAJA C/24 PAQ</t>
  </si>
  <si>
    <t>SAQUES ESPECIALES EN POSTES DE BAMBU ACABADO X-TREME PARA MODULOS ESQUINEROS BALLROOM</t>
  </si>
  <si>
    <t>SEGUETA PARA CALADORA T101BIF/T101AOF/T234X BOSCH</t>
  </si>
  <si>
    <t>SELLADOR DE JUNTAS SIKASIL WS 305 NEGRO MATE</t>
  </si>
  <si>
    <t xml:space="preserve">SELLADOR DE POLIURETANO </t>
  </si>
  <si>
    <t>SELLADOR DE POLIURETANO GRIS</t>
  </si>
  <si>
    <t>SELLADOR DE SILICON NEUTRO</t>
  </si>
  <si>
    <t>SELLADOR DE SILICON SILIRUB 2 HIBRIDO</t>
  </si>
  <si>
    <t>SELLADOR HIBRIDO SIMP SEAL 25 CAFÉ OSCURO</t>
  </si>
  <si>
    <t>SELLADOR HÍBRIDO SIMP SEAL 25 COLOR GRIS CLARO</t>
  </si>
  <si>
    <t>SELLADOR HÍBRIDO SIMP SEAL 25 COLOR GRIS OSCURO</t>
  </si>
  <si>
    <t>SELLADOR HÍBRIDO SIMP SEAL 25 COLOR NEGRO</t>
  </si>
  <si>
    <t>SELLADOR POLIURETANO</t>
  </si>
  <si>
    <t>SELLADOR SIKASIL N PLUS</t>
  </si>
  <si>
    <t>SELLO DE POLIURETANO GRIS</t>
  </si>
  <si>
    <t>SELLO DE POLIURETANO NEGRO</t>
  </si>
  <si>
    <t>SELLO DE SILICON SIKA N PLUS</t>
  </si>
  <si>
    <t>SELLO DE SILICON SIKASIL NEGRO</t>
  </si>
  <si>
    <t>SELLO DURETAN NEGRO 300 ML CARTUCHO</t>
  </si>
  <si>
    <t>SELLO ESTANQUEDAD</t>
  </si>
  <si>
    <t>SELLO ESTANQUEDAD HE-70</t>
  </si>
  <si>
    <t>SELLO ESTRUCTURAL NEGRO</t>
  </si>
  <si>
    <t>SEPARADOR 44MM.</t>
  </si>
  <si>
    <t>SEPARADORES DE NAYLAMIND DE 2MM DE ESPESOR</t>
  </si>
  <si>
    <t>SERVILLETA ELITE 1/4 HS C/500 PZ (6022)</t>
  </si>
  <si>
    <t>SIERRA CALADORA 660W VV DW317 DEWALT</t>
  </si>
  <si>
    <t>SIERRA CIRCULAR 7-1/4 PULG 1800W 5007NK MAKITA</t>
  </si>
  <si>
    <t>SIERRA CIRCULAR 7-1/4 PULG 1800W 643020 MILWAUKEE</t>
  </si>
  <si>
    <t>SIERRA CIRCULAR INALÁMBRICA 7-1/4" 20V MAX* XR (SOLO HERRAMIENTA) DCS570B DEWALT</t>
  </si>
  <si>
    <t>SIERRA DE 14"</t>
  </si>
  <si>
    <t>SIERRA DE 20"</t>
  </si>
  <si>
    <t>SIERRA DE INGLETE 10" DW714-B3 DEWALT</t>
  </si>
  <si>
    <t>SIERRA DE INGLETE TELESCÓPICA 10" LS1017L MAKITA</t>
  </si>
  <si>
    <t>SIERRA DE MESA 10" 1800W DWE7470 DEWALT</t>
  </si>
  <si>
    <t>SIERRA HART DE 12"</t>
  </si>
  <si>
    <t>SIERRA HART DE 14"</t>
  </si>
  <si>
    <t>SIERRA HART DE 20"</t>
  </si>
  <si>
    <t>SIERRA INGLETADORA DE 12" TELESCÓPICA DEWALT DWS780 120 VOLTS</t>
  </si>
  <si>
    <t>SIERRA INGLETEADORA 12 PULG 15 AMPS DWS715-B3</t>
  </si>
  <si>
    <t>SIERRA INGLETEADORA ANGULAR TELESCÓPICA 12 PULG 1675W</t>
  </si>
  <si>
    <t>SIERRA TELESCOPICA DE 12" MARCA DEWALT</t>
  </si>
  <si>
    <t>SIKASIL SG 20</t>
  </si>
  <si>
    <t>SILICÓN ANTIHONGOS</t>
  </si>
  <si>
    <t>SILICON BLANCO</t>
  </si>
  <si>
    <t>SILICON HIBRIDO SILIRUB 2</t>
  </si>
  <si>
    <t>SIMPSEAL 25 SELLADOR HIBRIDO BLANCO</t>
  </si>
  <si>
    <t>SIMSEAL 25 SELLADOR HIBRIDO NEGRO</t>
  </si>
  <si>
    <t>SOCKET PARA FOCO</t>
  </si>
  <si>
    <t>SOLERA 3" X 1/2"</t>
  </si>
  <si>
    <t>SOLERA 3/4" X 1/8"</t>
  </si>
  <si>
    <t>SOLERA DE 1/2" X 1 1/2"</t>
  </si>
  <si>
    <t>SOLERA DE 2" X 1/2"</t>
  </si>
  <si>
    <t>SOLERA DE 2" X 1/4"</t>
  </si>
  <si>
    <t>SOLERA DE 4´´ X 1/4´´ X 6.1 MTS</t>
  </si>
  <si>
    <t>SOLERA DE 6´´ X 1/4´´</t>
  </si>
  <si>
    <t>SOLERA DE ALUMINIO DE 2" X 3 MM DE ESPESOR</t>
  </si>
  <si>
    <t>SOLERA DE ALUMINIO DE 6" X 1/4" DE 3.66M</t>
  </si>
  <si>
    <t>SOLERA VINYLESTER F.V. 3" X 1" POR TRAMO DE 3.0 METROS DE LARGO CON RESINA PIGMENTADA AL COLOR DEL MOSSO X-TREME KANAI</t>
  </si>
  <si>
    <t>SOLERA VINYLESTER F.V. 3" X 1" POR TRAMO DE 4.80 METROS DE LARGO CON RESINA PIGMENTADA AL COLOR DEL MOSSO X-TREME KANAI</t>
  </si>
  <si>
    <t>SOLUBLE ESPECIAL 2230</t>
  </si>
  <si>
    <t>SOPORTE PARA PUERTA DE CRISTAL JUNIOROFFICE 11.304</t>
  </si>
  <si>
    <t>SOPORTE PARA TALADRO 290105 OBI</t>
  </si>
  <si>
    <t>SOPORTE TRIPLE ANTEPECHO "L"
CON COSTILLA IZQ./DER. OPCION</t>
  </si>
  <si>
    <t>SOUDAL | SILIRUB WS COLOR NEGRO DE 300 ML | NEUTRAL PARA CONTACTO CON VIDRIO LAMINADO</t>
  </si>
  <si>
    <t>SOUDALFIX VE400-SF ANCLAJE QUIMICO</t>
  </si>
  <si>
    <t>S-SILAC TRANSPARENTE</t>
  </si>
  <si>
    <t>TABLETA DE BAMBU CON ESQUINA BOLEADA Y RADIO DE 2 MM</t>
  </si>
  <si>
    <t>TALADRO 1/2 0-850 RPM 0299-20 MILWAUKEE</t>
  </si>
  <si>
    <t>TALADRO 3/8 PULG 960W VVR 0240-20 MILWAUKEE</t>
  </si>
  <si>
    <t>TALADRO ATORNILLADOR 1/2 PULG 20V DCD7771D2 DEWALT</t>
  </si>
  <si>
    <t>TALADRO DE BANCO</t>
  </si>
  <si>
    <t>TALADRO DE BANCO TB131 1/3HP 13MM MAKITA</t>
  </si>
  <si>
    <t>TALADRO ROTOMARTILLO 1" 800W DEWALT D25260k-b3, COLOR AMARILLO, FRECUENCIA 50HZ/60HZ</t>
  </si>
  <si>
    <t>TALADRO ROTOMARTILLO 670 W</t>
  </si>
  <si>
    <t>TAPA</t>
  </si>
  <si>
    <t>TAPA BOLSA DE 3"</t>
  </si>
  <si>
    <t>TAPA CUADRADA 75X 75MM 13MM GALVANIZADO</t>
  </si>
  <si>
    <t>TAPA DREN CON VALVULA</t>
  </si>
  <si>
    <t>TAPA DREN CON VÁLVULA ACABADO NEGRO</t>
  </si>
  <si>
    <t>TAPA DREN GN- 554 POL</t>
  </si>
  <si>
    <t>TAPA EMBELLECEDORA</t>
  </si>
  <si>
    <t>TAPA FRONTAL</t>
  </si>
  <si>
    <t>TAPA FRONTAL EMBELLECEDORA MOLDE NUEVO</t>
  </si>
  <si>
    <t>TAPA LISA ALTA P/RIEL CORREDIZA HEG-110</t>
  </si>
  <si>
    <t>TAPA LISA DE 3"</t>
  </si>
  <si>
    <t>TAPA OVAL</t>
  </si>
  <si>
    <t>TAPA RIEL</t>
  </si>
  <si>
    <t>TAPA TRASLAPE</t>
  </si>
  <si>
    <t>TAPAS EMBELLECEDORAS HEG 2023 (JUEGO DE BASE CON TAPA)</t>
  </si>
  <si>
    <t>TAPON DESAGUE</t>
  </si>
  <si>
    <t>TAPÓN DESAGÜE</t>
  </si>
  <si>
    <t>TAPON DREN</t>
  </si>
  <si>
    <t>TAPON HORIZONTAL</t>
  </si>
  <si>
    <t>TAPON PARA PIJA DE NYLON DE 1/2"</t>
  </si>
  <si>
    <t>TAPON VERTICAL</t>
  </si>
  <si>
    <t>TAPONES AUDITIVOS</t>
  </si>
  <si>
    <t>TAQUETE ARPON 3 X 3/8</t>
  </si>
  <si>
    <t>TAQUETE DE PLÁSTICO DE 1/4"</t>
  </si>
  <si>
    <t>TAQUETE EXPANSIVO DE 3/8" X 3" C/ TUERCA Y RONDANA DE ACERO INOXIDABLE</t>
  </si>
  <si>
    <t>TAQUETE HEMBRA DE 3/8" X 3" DE ACERO INOXIDABLE</t>
  </si>
  <si>
    <t>TAQUETE PLASTICO ROJO</t>
  </si>
  <si>
    <t>TAQUETE TORNILLO CABEZA HEXAGONAL DE 3/8" X 3"</t>
  </si>
  <si>
    <t>TAQUETE TORNILLO CABEZA HEXAGONAL DE 3/8" X 4"</t>
  </si>
  <si>
    <t>TAQUETE TORNILLO CABEZA HEZAGONAL DE 3/8" X 2 1/2"</t>
  </si>
  <si>
    <t>TAQUETE TORNILLO HEXAGONAL DE 3/8" X 3"</t>
  </si>
  <si>
    <t>TAQUETE XATO (CABEZA ALOMADA) HX73 08 080 DE 8 X 20/20</t>
  </si>
  <si>
    <t>TAQUETE XATO (CABEZA PLANA) HX73 08 080 DE 8 X 20/20</t>
  </si>
  <si>
    <t>TAQUETE XATO ROSCA EXTERIOR DE 3/8´´ X 3´´</t>
  </si>
  <si>
    <t>TAQUETE XATO ROSCA EXTERIOR DE 3/8´´ X 5´´</t>
  </si>
  <si>
    <t>TAQUETE ZAMAC DE 1/4"</t>
  </si>
  <si>
    <t>TC SERIE LARGA T-NUX TOR. CABEZA HEXAGONAL 10 X 80MM CON TORNILLO INCLUIDO</t>
  </si>
  <si>
    <t>TEE ROSCADA GALVANIZADA DE 3/4"</t>
  </si>
  <si>
    <t>TELEFONO</t>
  </si>
  <si>
    <t>TENEDOR GRANDE SOPERO BIODEGRADABLE ACEI</t>
  </si>
  <si>
    <t>TERMOMETRO DE PISTOLA</t>
  </si>
  <si>
    <t>THINNER ESTANDAR</t>
  </si>
  <si>
    <t>THORQUETE ROJO 1/4X1 1/2PG CAJA CON 100 PIEZAS</t>
  </si>
  <si>
    <t>TINTA 954 XL AMARILLO</t>
  </si>
  <si>
    <t>TINTA 954 XL CYAN</t>
  </si>
  <si>
    <t>TINTA 954 XL MAGENTA</t>
  </si>
  <si>
    <t>TINTA 954 XL NEGRO</t>
  </si>
  <si>
    <t>TINTA AMARILLO 954 XL</t>
  </si>
  <si>
    <t>TINTA CYAN 954 XL</t>
  </si>
  <si>
    <t>TINTA MAGENTA 954 XL</t>
  </si>
  <si>
    <t>TINTA NEGRA 954 XL</t>
  </si>
  <si>
    <t>TINTA NEGRO 26X (CF226X)</t>
  </si>
  <si>
    <t>TOMACORRIENTE DUPLEX 2P+T 15A 127V~ 3MOD BLANCO</t>
  </si>
  <si>
    <t>TONER 26X</t>
  </si>
  <si>
    <t>TONER TN 660 BROTHER</t>
  </si>
  <si>
    <t>TOPE DE BALIN EN ALUMINIO</t>
  </si>
  <si>
    <t>TOPE DE PUERTA</t>
  </si>
  <si>
    <t>TOPE PARA CORREDIZA</t>
  </si>
  <si>
    <t>TORNILLO 1 1/2" X 1/4" CABEZA BOTON ALEN GALVANIZADO</t>
  </si>
  <si>
    <t>TORNILLO ALLEN 2 X 1/4"</t>
  </si>
  <si>
    <t>TORNILLO BARRIL CABEZA ALLEN DE 5/16 X 1 1/2"</t>
  </si>
  <si>
    <t>TORNILLO CABEZA DE BOTON ENTRADA ALLEN DE 1/4´´ X 1 1/2´´ CUERDA CORRIDA</t>
  </si>
  <si>
    <t>TORNILLO CABEZA DE BOTON ENTRADA ALLEN DE 1/4´´ X 2 1/2´´ CUERDA CORRIDA</t>
  </si>
  <si>
    <t>TORNILLO CABEZA HEXAGONAL 3/8" X 2"</t>
  </si>
  <si>
    <t>TORNILLO CABEZA HEXAGONAL CUERDA CORRIDA DE 1/4" X 1" DE ACERO INOXIDABLE</t>
  </si>
  <si>
    <t>TORNILLO CABEZA HEXAGONAL CUERDA CORRIDA DE 3/8" X 1 1/4" DE ACERO INOXIDABLE</t>
  </si>
  <si>
    <t>TORNILLO CABEZA HEXAGONAL DE 3/8 ́ ́ X 2 ́ ́ GALVANIZADO</t>
  </si>
  <si>
    <t>TORNILLO CABEZA HEXAGONAL DE 3/8 ́X 1 1/2" CUERDA CORRIDA</t>
  </si>
  <si>
    <t>TORNILLO DE 1/4" X 1 1/2" C.BOTON ALLEN ACERO INOX</t>
  </si>
  <si>
    <t xml:space="preserve">TORNILLO DE 3/8" x 1" CABEZA HEXAGONAL </t>
  </si>
  <si>
    <t>TORNILLO DE ACERO AL CARBON CUERDA CORRIDA ESTANDAR GRADO 8 CABEZA HEXAGONAL DE 3/8" X 1" DE LARGO</t>
  </si>
  <si>
    <t>TORNILLO GALVANIZADO GRADO 5 DE 1/2" X 2 " DE LARGO</t>
  </si>
  <si>
    <t>TORNILLO HEXAGONAL 1 1/2" X 3/8"</t>
  </si>
  <si>
    <t>TORNILLO HEXAGONAL DE 1 1/2" x 3/8"</t>
  </si>
  <si>
    <t>TORNILLO HEXAGONAL DE 1/4 X 1" CUERDA CORRIDA</t>
  </si>
  <si>
    <t>TORNILLO HEXAGONAL DE 3/8" X 1" CUERDA CORRIDA</t>
  </si>
  <si>
    <t>TORNILLO PARA LAMINA NO.10X 1 1/2PG COMBO</t>
  </si>
  <si>
    <t>TORNILLO TIPO ALLEN 1/4" X 2"</t>
  </si>
  <si>
    <t>TORNILLO TIPO ALLEN CABEZA DE GOTA DE 1/4" X 1 1/2" CUERDA CORRIDA</t>
  </si>
  <si>
    <t>TORNILLO TIPO ALLEN CABEZA DE GOTA DE 1/4" X 1 1/2" CUERDA CORRIDA ACERO INOX</t>
  </si>
  <si>
    <t>TORNILLO TIPO ALLEN CABEZA DE GOTA DE 1/4" X 1 1/2" DE ACERO INOXIDABLE</t>
  </si>
  <si>
    <t>TORNILLO TIPO ALLEN CABEZA DE GOTA DE 1/4" X 2 1/2" CUERDA CORRIDA DE ACERO INOXIDABLE</t>
  </si>
  <si>
    <t>TORNILLO TIPO ALLEN CABEZA DE GOTA DE 1/4" X 2 1/2" DE ACERO INOXIDABLE</t>
  </si>
  <si>
    <t>TORNILLO XATO (CABEZA ALOMADA) HX75 08 080 DE ø 8 X 80 /20 DE ACERO INOXIDABLE</t>
  </si>
  <si>
    <t>TORNILLO XATO (CABEZA PLANA) HX73 08 080 DE ø 8 X 80 /20 DE ACERO INOXIDABLE</t>
  </si>
  <si>
    <t>TORNILLO XATO CABEZA ALOMADA HX 75 08 080</t>
  </si>
  <si>
    <t>TORNILLO XATO CABEZA PLANA HX 73 08 080</t>
  </si>
  <si>
    <t>TRANSFORMADOR 15KVA NACIONAL MARCA: ZETRAK</t>
  </si>
  <si>
    <t>TRAPO</t>
  </si>
  <si>
    <t>TRASLAPE</t>
  </si>
  <si>
    <t>TRASLAPE S70</t>
  </si>
  <si>
    <t>TRASLAPE VENTANA 2"</t>
  </si>
  <si>
    <t>TRIPLAY DE 15 MM DE SEGUNDA DE 1.22 X 2.44</t>
  </si>
  <si>
    <t>TRIPLAY DE 3/4 1.22 X 2.44 HOJA</t>
  </si>
  <si>
    <t>TRIPLAY DE 6MM DE 3ERA DE 1.22 X 2.44</t>
  </si>
  <si>
    <t>TRÍPODE LÁSER</t>
  </si>
  <si>
    <t>TRUPER JGO. DE 13 LLAVES ALLEN MM DE 1.3 A 10MM</t>
  </si>
  <si>
    <t>TUBO DE ALUMINIO 2 X 1"</t>
  </si>
  <si>
    <t>TUBO 4 X 1 3/4"</t>
  </si>
  <si>
    <t>TUBO CUADRADO DE 1/2" X 1/2" X 0.062"</t>
  </si>
  <si>
    <t>TUBO CUADRADO DE 2" X 2" X 0.054"</t>
  </si>
  <si>
    <t>TUBO DE 2´´ X 1´´ X 6.10</t>
  </si>
  <si>
    <t>TUBO DE 3´´ X 1´´</t>
  </si>
  <si>
    <t>TUBO DE 4" X 2" X 0.094" L-I</t>
  </si>
  <si>
    <t>TUBO DE ACERO INOX REDONDO 304 C/18 DE 2" DE DIAMETRO</t>
  </si>
  <si>
    <t>TUBO DE ALUMINIO DE 1" X 1" 6.10 MILL FINISH</t>
  </si>
  <si>
    <t>TUBO DE ALUMINIO DE 2" X 1" X 1/16" DE ESPESOR</t>
  </si>
  <si>
    <t>TUBO DE ALUMINIO DE 3/4" 6ML DE LARGO</t>
  </si>
  <si>
    <t>TUBO REDONDO 10.6MM</t>
  </si>
  <si>
    <t>TUBO ZAPA 13MM</t>
  </si>
  <si>
    <t xml:space="preserve">TUERCA / TAPON / TENSOR </t>
  </si>
  <si>
    <t>TUERCA BELLOTA DE 3/8"</t>
  </si>
  <si>
    <t>TUERCA DE 1/4</t>
  </si>
  <si>
    <t>TUERCA DE 3/8"</t>
  </si>
  <si>
    <t>TUERCA DE BELLOTA PARA 1/4" DE ACERO INOX</t>
  </si>
  <si>
    <t>TUERCA HEXAGONAL ACERO INOX 3/8</t>
  </si>
  <si>
    <t>TUERCA HEXAGONAL GALVANIZADA DE 1/2"</t>
  </si>
  <si>
    <t>TUERCA HEXAGONAL PARA 3/8" ACABADO ACERO INOXIDABLE</t>
  </si>
  <si>
    <t>TUERCA INSERTO DE # 8 CUERDA INTERIOR DE ACERO INOXIDABLE</t>
  </si>
  <si>
    <t>TUERCA P/3/8" DE ACERO INOXIDABLE</t>
  </si>
  <si>
    <t>TUERCA TAPON TIPO "T"</t>
  </si>
  <si>
    <t>UNIÓN DIVISIÓN MARCO</t>
  </si>
  <si>
    <t>URREA JGO. DE 9 LLAVES ALLEN
MILIMETRICAS PUNTA DE BOLA DE 1.5 A 10MM</t>
  </si>
  <si>
    <t>VARILLA DE ESPARRAGO DE 1/4" X 60MM</t>
  </si>
  <si>
    <t>VARILLA ROSCADA DE 3/8 " X 3.05 X 5 " DE ACERO INOXIDABLE . (MEDIDA DE LARGO POR PIEZA 5 ") (XATO)</t>
  </si>
  <si>
    <t>VARIOS APEX PUNTA TORX T25 LARGO DE 1-15/16"</t>
  </si>
  <si>
    <t>VENTILADOR INDUSTRIAL DE 30"</t>
  </si>
  <si>
    <t>VENTOSA DE 3 COPAS VERIVOR</t>
  </si>
  <si>
    <t>VENTOSA VERIBOR® 3 PLATOS ALEMANA - CONTRATISTA . MARTIN CORDERO</t>
  </si>
  <si>
    <t>VILEDA JALADOR</t>
  </si>
  <si>
    <t>VINIL (NEGRO)</t>
  </si>
  <si>
    <t>VINIL ALETA SUAVE CENTRADA DE 9MM. EN TRAMO DE 2.50 M.</t>
  </si>
  <si>
    <t>VINIL E-307/6 MM (NEGRO)</t>
  </si>
  <si>
    <t>VINIL GRIS OXFORD - TIRAS DE 5 CM ANCHO</t>
  </si>
  <si>
    <t>VINILO ALETA CENTRAL</t>
  </si>
  <si>
    <t>VINILO BOTAGUAS ALETA LARGA CON SELLO AL PISO</t>
  </si>
  <si>
    <t>ZOCLO</t>
  </si>
  <si>
    <t>ZOCLO - CABEZAL CORREDIZA HEG P/DUOVENT</t>
  </si>
  <si>
    <t>ZOCLO CABEZAL S70</t>
  </si>
  <si>
    <t>CONTRA MARCO</t>
  </si>
  <si>
    <t>MOSQUITERO FIJO</t>
  </si>
  <si>
    <t>PIJA CABEZA FIJADORA PHILLIPS DEL NO. 10 (3/16") X 1" DE ACERO INOXIDABLE</t>
  </si>
  <si>
    <t>TORNILLO CABEZA HEXAGONAL CUERDA CORRIDA DE 1/4" X 3/4" DE ACERO INOXIDABLE</t>
  </si>
  <si>
    <t>SOLERA 3/8" X 3"</t>
  </si>
  <si>
    <t>PIJA GALLETA PUNTA DE BROCA 8 X 1/2"</t>
  </si>
  <si>
    <t>CLAVE</t>
  </si>
  <si>
    <t>01010101</t>
  </si>
  <si>
    <t>01010102</t>
  </si>
  <si>
    <t>01010103</t>
  </si>
  <si>
    <t>01010201</t>
  </si>
  <si>
    <t>01010202</t>
  </si>
  <si>
    <t>01010203</t>
  </si>
  <si>
    <t>01010401</t>
  </si>
  <si>
    <t>01010402</t>
  </si>
  <si>
    <t>01010403</t>
  </si>
  <si>
    <t>01010501</t>
  </si>
  <si>
    <t>01010502</t>
  </si>
  <si>
    <t>01010601</t>
  </si>
  <si>
    <t>01010602</t>
  </si>
  <si>
    <t>01010701</t>
  </si>
  <si>
    <t>01010702</t>
  </si>
  <si>
    <t>CIERRAPUERTAS AUTOMATIZADOS GEZE PARA PUERTAS BATIENTES. FABRICACION ALEMANA.</t>
  </si>
  <si>
    <t>01170121</t>
  </si>
  <si>
    <t>01170105</t>
  </si>
  <si>
    <t>14010101</t>
  </si>
  <si>
    <t>14010501</t>
  </si>
  <si>
    <t>14010401</t>
  </si>
  <si>
    <t>01030202</t>
  </si>
  <si>
    <t>01030201</t>
  </si>
  <si>
    <t>01070201</t>
  </si>
  <si>
    <t>01070202</t>
  </si>
  <si>
    <t>13110401</t>
  </si>
  <si>
    <t>13110402</t>
  </si>
  <si>
    <t>13110403</t>
  </si>
  <si>
    <t>13110404</t>
  </si>
  <si>
    <t>13110405</t>
  </si>
  <si>
    <t>01030401</t>
  </si>
  <si>
    <t>01030402</t>
  </si>
  <si>
    <t>01030301</t>
  </si>
  <si>
    <t>01030302</t>
  </si>
  <si>
    <t>01030101</t>
  </si>
  <si>
    <t>01030102</t>
  </si>
  <si>
    <t>01070101</t>
  </si>
  <si>
    <t>01070102</t>
  </si>
  <si>
    <t>13020101</t>
  </si>
  <si>
    <t>13010102</t>
  </si>
  <si>
    <t>13020201</t>
  </si>
  <si>
    <t>13010202</t>
  </si>
  <si>
    <t>13010302</t>
  </si>
  <si>
    <t>13020301</t>
  </si>
  <si>
    <t>13010402</t>
  </si>
  <si>
    <t>13020401</t>
  </si>
  <si>
    <t>13020501</t>
  </si>
  <si>
    <t>13010502</t>
  </si>
  <si>
    <t>13050102</t>
  </si>
  <si>
    <t>13050302</t>
  </si>
  <si>
    <t>13050202</t>
  </si>
  <si>
    <t>13060501</t>
  </si>
  <si>
    <t>13060201</t>
  </si>
  <si>
    <t>13060301</t>
  </si>
  <si>
    <t>13060101</t>
  </si>
  <si>
    <t>13050402</t>
  </si>
  <si>
    <t>13060401</t>
  </si>
  <si>
    <t>13050502</t>
  </si>
  <si>
    <t>10090102</t>
  </si>
  <si>
    <t>10090101</t>
  </si>
  <si>
    <t>10090404</t>
  </si>
  <si>
    <t>10090403</t>
  </si>
  <si>
    <t>10090402</t>
  </si>
  <si>
    <t>10090401</t>
  </si>
  <si>
    <t>10090301</t>
  </si>
  <si>
    <t>10090501</t>
  </si>
  <si>
    <t>10090702</t>
  </si>
  <si>
    <t>10090701</t>
  </si>
  <si>
    <t>10090302</t>
  </si>
  <si>
    <t>10090201</t>
  </si>
  <si>
    <t>10090202</t>
  </si>
  <si>
    <t>13120301</t>
  </si>
  <si>
    <t>13120302</t>
  </si>
  <si>
    <t>01160101</t>
  </si>
  <si>
    <t>01160202</t>
  </si>
  <si>
    <t>01160201</t>
  </si>
  <si>
    <t>01160102</t>
  </si>
  <si>
    <t>01160301</t>
  </si>
  <si>
    <t>01160302</t>
  </si>
  <si>
    <t>13120401</t>
  </si>
  <si>
    <t>13120101</t>
  </si>
  <si>
    <t>13120102</t>
  </si>
  <si>
    <t>01020202</t>
  </si>
  <si>
    <t>01020203</t>
  </si>
  <si>
    <t>01020201</t>
  </si>
  <si>
    <t>08030102</t>
  </si>
  <si>
    <t>01060401</t>
  </si>
  <si>
    <t>01060402</t>
  </si>
  <si>
    <t>01060201</t>
  </si>
  <si>
    <t>01060202</t>
  </si>
  <si>
    <t>01060301</t>
  </si>
  <si>
    <t>01060302</t>
  </si>
  <si>
    <t>01020301</t>
  </si>
  <si>
    <t>01020302</t>
  </si>
  <si>
    <t>01020401</t>
  </si>
  <si>
    <t>01020402</t>
  </si>
  <si>
    <t>01060101</t>
  </si>
  <si>
    <t>01060102</t>
  </si>
  <si>
    <t>01020103</t>
  </si>
  <si>
    <t>01020102</t>
  </si>
  <si>
    <t>01020101</t>
  </si>
  <si>
    <t>02010801</t>
  </si>
  <si>
    <t>02010802</t>
  </si>
  <si>
    <t>02010501</t>
  </si>
  <si>
    <t>02010502</t>
  </si>
  <si>
    <t>02010301</t>
  </si>
  <si>
    <t>02010303</t>
  </si>
  <si>
    <t>02010302</t>
  </si>
  <si>
    <t>02010402</t>
  </si>
  <si>
    <t>02010401</t>
  </si>
  <si>
    <t>02010601</t>
  </si>
  <si>
    <t>02010602</t>
  </si>
  <si>
    <t>02010201</t>
  </si>
  <si>
    <t>02010203</t>
  </si>
  <si>
    <t>02010202</t>
  </si>
  <si>
    <t>02010101</t>
  </si>
  <si>
    <t>02010103</t>
  </si>
  <si>
    <t>02010102</t>
  </si>
  <si>
    <t>02010701</t>
  </si>
  <si>
    <t>02010703</t>
  </si>
  <si>
    <t>02010702</t>
  </si>
  <si>
    <t>01040201</t>
  </si>
  <si>
    <t>01040203</t>
  </si>
  <si>
    <t>01040202</t>
  </si>
  <si>
    <t>01040101</t>
  </si>
  <si>
    <t>01040103</t>
  </si>
  <si>
    <t>01040102</t>
  </si>
  <si>
    <t>01050101</t>
  </si>
  <si>
    <t>01080102</t>
  </si>
  <si>
    <t>01080101</t>
  </si>
  <si>
    <t>03030401</t>
  </si>
  <si>
    <t>03030402</t>
  </si>
  <si>
    <t>03030201</t>
  </si>
  <si>
    <t>03030202</t>
  </si>
  <si>
    <t>03030301</t>
  </si>
  <si>
    <t>03030302</t>
  </si>
  <si>
    <t>03030501</t>
  </si>
  <si>
    <t>03030502</t>
  </si>
  <si>
    <t>03030101</t>
  </si>
  <si>
    <t>03030102</t>
  </si>
  <si>
    <t>03010401</t>
  </si>
  <si>
    <t>03010402</t>
  </si>
  <si>
    <t>03010201</t>
  </si>
  <si>
    <t>03010202</t>
  </si>
  <si>
    <t>03010301</t>
  </si>
  <si>
    <t>03010302</t>
  </si>
  <si>
    <t>03010501</t>
  </si>
  <si>
    <t>03010502</t>
  </si>
  <si>
    <t>03010101</t>
  </si>
  <si>
    <t>03010102</t>
  </si>
  <si>
    <t>05020207</t>
  </si>
  <si>
    <t>10120401</t>
  </si>
  <si>
    <t>04011106</t>
  </si>
  <si>
    <t>04011105</t>
  </si>
  <si>
    <t>04011102</t>
  </si>
  <si>
    <t>04011103</t>
  </si>
  <si>
    <t>04011104</t>
  </si>
  <si>
    <t>04011101</t>
  </si>
  <si>
    <t>04011704</t>
  </si>
  <si>
    <t>04011701</t>
  </si>
  <si>
    <t>04011706</t>
  </si>
  <si>
    <t>04011705</t>
  </si>
  <si>
    <t>04011702</t>
  </si>
  <si>
    <t>04011703</t>
  </si>
  <si>
    <t>04011206</t>
  </si>
  <si>
    <t>04011204</t>
  </si>
  <si>
    <t>04011205</t>
  </si>
  <si>
    <t>04011203</t>
  </si>
  <si>
    <t>04011201</t>
  </si>
  <si>
    <t>04011202</t>
  </si>
  <si>
    <t>04011804</t>
  </si>
  <si>
    <t>04011801</t>
  </si>
  <si>
    <t>04011806</t>
  </si>
  <si>
    <t>04011805</t>
  </si>
  <si>
    <t>04011802</t>
  </si>
  <si>
    <t>04011803</t>
  </si>
  <si>
    <t>04011306</t>
  </si>
  <si>
    <t>04011305</t>
  </si>
  <si>
    <t>04011303</t>
  </si>
  <si>
    <t>04011304</t>
  </si>
  <si>
    <t>04011301</t>
  </si>
  <si>
    <t>04011302</t>
  </si>
  <si>
    <t>04011904</t>
  </si>
  <si>
    <t>04011901</t>
  </si>
  <si>
    <t>04011906</t>
  </si>
  <si>
    <t>04011905</t>
  </si>
  <si>
    <t>04011902</t>
  </si>
  <si>
    <t>04011903</t>
  </si>
  <si>
    <t>04011404</t>
  </si>
  <si>
    <t>04011401</t>
  </si>
  <si>
    <t>04011406</t>
  </si>
  <si>
    <t>04011405</t>
  </si>
  <si>
    <t>04011402</t>
  </si>
  <si>
    <t>04011403</t>
  </si>
  <si>
    <t>04011504</t>
  </si>
  <si>
    <t>04011501</t>
  </si>
  <si>
    <t>04011506</t>
  </si>
  <si>
    <t>04011505</t>
  </si>
  <si>
    <t>04011502</t>
  </si>
  <si>
    <t>04011503</t>
  </si>
  <si>
    <t>04011604</t>
  </si>
  <si>
    <t>04011601</t>
  </si>
  <si>
    <t>04011606</t>
  </si>
  <si>
    <t>04011605</t>
  </si>
  <si>
    <t>04011602</t>
  </si>
  <si>
    <t>04011603</t>
  </si>
  <si>
    <t>04040103</t>
  </si>
  <si>
    <t>04040102</t>
  </si>
  <si>
    <t>04050103</t>
  </si>
  <si>
    <t>04050102</t>
  </si>
  <si>
    <t>10020102</t>
  </si>
  <si>
    <t>10020101</t>
  </si>
  <si>
    <t>10030101</t>
  </si>
  <si>
    <t>05060102</t>
  </si>
  <si>
    <t>02040101</t>
  </si>
  <si>
    <t>02040102</t>
  </si>
  <si>
    <t>08041101</t>
  </si>
  <si>
    <t>05010104</t>
  </si>
  <si>
    <t>07010503</t>
  </si>
  <si>
    <t>07010501</t>
  </si>
  <si>
    <t>07010502</t>
  </si>
  <si>
    <t>08040101</t>
  </si>
  <si>
    <t>08040601</t>
  </si>
  <si>
    <t>08040602</t>
  </si>
  <si>
    <t>12010101</t>
  </si>
  <si>
    <t>08040202</t>
  </si>
  <si>
    <t>08040201</t>
  </si>
  <si>
    <t>01130101</t>
  </si>
  <si>
    <t>01130102</t>
  </si>
  <si>
    <t>08040401</t>
  </si>
  <si>
    <t>07020103</t>
  </si>
  <si>
    <t>96010102</t>
  </si>
  <si>
    <t>05020104</t>
  </si>
  <si>
    <t>05020101</t>
  </si>
  <si>
    <t>05020102</t>
  </si>
  <si>
    <t>05020103</t>
  </si>
  <si>
    <t>06010102</t>
  </si>
  <si>
    <t>06010103</t>
  </si>
  <si>
    <t>06010101</t>
  </si>
  <si>
    <t>07020101</t>
  </si>
  <si>
    <t>07020104</t>
  </si>
  <si>
    <t>07020102</t>
  </si>
  <si>
    <t>07020105</t>
  </si>
  <si>
    <t>01090101</t>
  </si>
  <si>
    <t>01090102</t>
  </si>
  <si>
    <t>01090202</t>
  </si>
  <si>
    <t>01090201</t>
  </si>
  <si>
    <t>01090301</t>
  </si>
  <si>
    <t>01090302</t>
  </si>
  <si>
    <t>01090401</t>
  </si>
  <si>
    <t>01090402</t>
  </si>
  <si>
    <t>01090501</t>
  </si>
  <si>
    <t>01090503</t>
  </si>
  <si>
    <t>01090502</t>
  </si>
  <si>
    <t>01090601</t>
  </si>
  <si>
    <t>01090602</t>
  </si>
  <si>
    <t>02020401</t>
  </si>
  <si>
    <t>02020402</t>
  </si>
  <si>
    <t>02020601</t>
  </si>
  <si>
    <t>02020602</t>
  </si>
  <si>
    <t>02020502</t>
  </si>
  <si>
    <t>02020501</t>
  </si>
  <si>
    <t>02020301</t>
  </si>
  <si>
    <t>02020302</t>
  </si>
  <si>
    <t>02020201</t>
  </si>
  <si>
    <t>02020202</t>
  </si>
  <si>
    <t>02020102</t>
  </si>
  <si>
    <t>02020101</t>
  </si>
  <si>
    <t>02020103</t>
  </si>
  <si>
    <t>03040301</t>
  </si>
  <si>
    <t>03040302</t>
  </si>
  <si>
    <t>03040401</t>
  </si>
  <si>
    <t>03040402</t>
  </si>
  <si>
    <t>03040201</t>
  </si>
  <si>
    <t>03040202</t>
  </si>
  <si>
    <t>03040101</t>
  </si>
  <si>
    <t>03040102</t>
  </si>
  <si>
    <t>03020301</t>
  </si>
  <si>
    <t>03020302</t>
  </si>
  <si>
    <t>03020401</t>
  </si>
  <si>
    <t>03020402</t>
  </si>
  <si>
    <t>03020201</t>
  </si>
  <si>
    <t>03020202</t>
  </si>
  <si>
    <t>03020101</t>
  </si>
  <si>
    <t>03020102</t>
  </si>
  <si>
    <t>10120203</t>
  </si>
  <si>
    <t>10120202</t>
  </si>
  <si>
    <t>10120201</t>
  </si>
  <si>
    <t>10120204</t>
  </si>
  <si>
    <t>13120602</t>
  </si>
  <si>
    <t>13120502</t>
  </si>
  <si>
    <t>10010101</t>
  </si>
  <si>
    <t>10010401</t>
  </si>
  <si>
    <t>10010402</t>
  </si>
  <si>
    <t>01100401</t>
  </si>
  <si>
    <t>01100502</t>
  </si>
  <si>
    <t>04040201</t>
  </si>
  <si>
    <t>14010601</t>
  </si>
  <si>
    <t>14010701</t>
  </si>
  <si>
    <t>10081503</t>
  </si>
  <si>
    <t>10081501</t>
  </si>
  <si>
    <t>10081401</t>
  </si>
  <si>
    <t>10081403</t>
  </si>
  <si>
    <t>10081701</t>
  </si>
  <si>
    <t>10081601</t>
  </si>
  <si>
    <t>13120203</t>
  </si>
  <si>
    <t>10020201</t>
  </si>
  <si>
    <t>10010901</t>
  </si>
  <si>
    <t>10010902</t>
  </si>
  <si>
    <t>10010801</t>
  </si>
  <si>
    <t>10010802</t>
  </si>
  <si>
    <t>10020202</t>
  </si>
  <si>
    <t>13120202</t>
  </si>
  <si>
    <t>13100201</t>
  </si>
  <si>
    <t>13120201</t>
  </si>
  <si>
    <t>14010301</t>
  </si>
  <si>
    <t>10010203</t>
  </si>
  <si>
    <t>10010202</t>
  </si>
  <si>
    <t>10010201</t>
  </si>
  <si>
    <t>10020701</t>
  </si>
  <si>
    <t>10081001</t>
  </si>
  <si>
    <t>10081101</t>
  </si>
  <si>
    <t>10081201</t>
  </si>
  <si>
    <t>10081301</t>
  </si>
  <si>
    <t>10080801</t>
  </si>
  <si>
    <t>10080901</t>
  </si>
  <si>
    <t>01100402</t>
  </si>
  <si>
    <t>01100501</t>
  </si>
  <si>
    <t>10010702</t>
  </si>
  <si>
    <t>10010701</t>
  </si>
  <si>
    <t>04040202</t>
  </si>
  <si>
    <t>13100101</t>
  </si>
  <si>
    <t>14020201</t>
  </si>
  <si>
    <t>14020101</t>
  </si>
  <si>
    <t>14020301</t>
  </si>
  <si>
    <t>14010201</t>
  </si>
  <si>
    <t>01080201</t>
  </si>
  <si>
    <t>10010102</t>
  </si>
  <si>
    <t>10010501</t>
  </si>
  <si>
    <t>10010502</t>
  </si>
  <si>
    <t>10010301</t>
  </si>
  <si>
    <t>10010302</t>
  </si>
  <si>
    <t>10010601</t>
  </si>
  <si>
    <t>10010602</t>
  </si>
  <si>
    <t>05020201</t>
  </si>
  <si>
    <t>07020201</t>
  </si>
  <si>
    <t>06050108</t>
  </si>
  <si>
    <t>06050107</t>
  </si>
  <si>
    <t>12010102</t>
  </si>
  <si>
    <t>08041001</t>
  </si>
  <si>
    <t>01140201</t>
  </si>
  <si>
    <t>01140202</t>
  </si>
  <si>
    <t>08040302</t>
  </si>
  <si>
    <t>08040301</t>
  </si>
  <si>
    <t>08040501</t>
  </si>
  <si>
    <t>08040701</t>
  </si>
  <si>
    <t>08040702</t>
  </si>
  <si>
    <t>08041201</t>
  </si>
  <si>
    <t>08041202</t>
  </si>
  <si>
    <t>05040201</t>
  </si>
  <si>
    <t>01130201</t>
  </si>
  <si>
    <t>01130202</t>
  </si>
  <si>
    <t>01130301</t>
  </si>
  <si>
    <t>01130302</t>
  </si>
  <si>
    <t>05040202</t>
  </si>
  <si>
    <t>08041302</t>
  </si>
  <si>
    <t>10120301</t>
  </si>
  <si>
    <t>10120302</t>
  </si>
  <si>
    <t>96010103</t>
  </si>
  <si>
    <t>06050102</t>
  </si>
  <si>
    <t>06050103</t>
  </si>
  <si>
    <t>05020202</t>
  </si>
  <si>
    <t>13110501</t>
  </si>
  <si>
    <t>13110502</t>
  </si>
  <si>
    <t>13110503</t>
  </si>
  <si>
    <t>13110504</t>
  </si>
  <si>
    <t>13110505</t>
  </si>
  <si>
    <t>13110506</t>
  </si>
  <si>
    <t>13070102</t>
  </si>
  <si>
    <t>13070101</t>
  </si>
  <si>
    <t>13110201</t>
  </si>
  <si>
    <t>13110202</t>
  </si>
  <si>
    <t>13110203</t>
  </si>
  <si>
    <t>13110204</t>
  </si>
  <si>
    <t>13110205</t>
  </si>
  <si>
    <t>13110206</t>
  </si>
  <si>
    <t>06020112</t>
  </si>
  <si>
    <t>10020601</t>
  </si>
  <si>
    <t>10030201</t>
  </si>
  <si>
    <t>10030202</t>
  </si>
  <si>
    <t>82010102</t>
  </si>
  <si>
    <t>06020117</t>
  </si>
  <si>
    <t>05060103</t>
  </si>
  <si>
    <t>81020102</t>
  </si>
  <si>
    <t>07010302</t>
  </si>
  <si>
    <t>07010303</t>
  </si>
  <si>
    <t>05010102</t>
  </si>
  <si>
    <t>05010103</t>
  </si>
  <si>
    <t>05070102</t>
  </si>
  <si>
    <t>08010201</t>
  </si>
  <si>
    <t>08010203</t>
  </si>
  <si>
    <t>08010202</t>
  </si>
  <si>
    <t>10040503</t>
  </si>
  <si>
    <t>10040501</t>
  </si>
  <si>
    <t>10040401</t>
  </si>
  <si>
    <t>10041101</t>
  </si>
  <si>
    <t>10041001</t>
  </si>
  <si>
    <t>07010301</t>
  </si>
  <si>
    <t>07010402</t>
  </si>
  <si>
    <t>07010403</t>
  </si>
  <si>
    <t>07010401</t>
  </si>
  <si>
    <t>10040601</t>
  </si>
  <si>
    <t>10040701</t>
  </si>
  <si>
    <t>10040901</t>
  </si>
  <si>
    <t>10040801</t>
  </si>
  <si>
    <t>10040303</t>
  </si>
  <si>
    <t>10040301</t>
  </si>
  <si>
    <t>08010101</t>
  </si>
  <si>
    <t>08010103</t>
  </si>
  <si>
    <t>08010102</t>
  </si>
  <si>
    <t>10030401</t>
  </si>
  <si>
    <t>10040201</t>
  </si>
  <si>
    <t>04020302</t>
  </si>
  <si>
    <t>04020301</t>
  </si>
  <si>
    <t>04020304</t>
  </si>
  <si>
    <t>04030201</t>
  </si>
  <si>
    <t>04030202</t>
  </si>
  <si>
    <t>04030101</t>
  </si>
  <si>
    <t>04030102</t>
  </si>
  <si>
    <t>04020303</t>
  </si>
  <si>
    <t>07020202</t>
  </si>
  <si>
    <t>10060301</t>
  </si>
  <si>
    <t>10060401</t>
  </si>
  <si>
    <t>10060601</t>
  </si>
  <si>
    <t>10060501</t>
  </si>
  <si>
    <t>10060701</t>
  </si>
  <si>
    <t>01120401</t>
  </si>
  <si>
    <t>01120403</t>
  </si>
  <si>
    <t>01120402</t>
  </si>
  <si>
    <t>01120501</t>
  </si>
  <si>
    <t>01120502</t>
  </si>
  <si>
    <t>02030101</t>
  </si>
  <si>
    <t>02030103</t>
  </si>
  <si>
    <t>02030102</t>
  </si>
  <si>
    <t>02030201</t>
  </si>
  <si>
    <t>02030203</t>
  </si>
  <si>
    <t>02030202</t>
  </si>
  <si>
    <t>01120201</t>
  </si>
  <si>
    <t>01120202</t>
  </si>
  <si>
    <t>03050102</t>
  </si>
  <si>
    <t>03050101</t>
  </si>
  <si>
    <t>41020105</t>
  </si>
  <si>
    <t>41020101</t>
  </si>
  <si>
    <t>41020103</t>
  </si>
  <si>
    <t>04050203</t>
  </si>
  <si>
    <t>04050202</t>
  </si>
  <si>
    <t>08050101</t>
  </si>
  <si>
    <t>10020802</t>
  </si>
  <si>
    <t>10020801</t>
  </si>
  <si>
    <t>01120101</t>
  </si>
  <si>
    <t>01120103</t>
  </si>
  <si>
    <t>01120102</t>
  </si>
  <si>
    <t>01120301</t>
  </si>
  <si>
    <t>01120302</t>
  </si>
  <si>
    <t>10050703</t>
  </si>
  <si>
    <t>10050701</t>
  </si>
  <si>
    <t>10050501</t>
  </si>
  <si>
    <t>10050603</t>
  </si>
  <si>
    <t>10050601</t>
  </si>
  <si>
    <t>10050101</t>
  </si>
  <si>
    <t>10050301</t>
  </si>
  <si>
    <t>10050201</t>
  </si>
  <si>
    <t>10050203</t>
  </si>
  <si>
    <t>10050401</t>
  </si>
  <si>
    <t>10050801</t>
  </si>
  <si>
    <t>10050901</t>
  </si>
  <si>
    <t>10060101</t>
  </si>
  <si>
    <t>10060201</t>
  </si>
  <si>
    <t>01110601</t>
  </si>
  <si>
    <t>01110602</t>
  </si>
  <si>
    <t>01110401</t>
  </si>
  <si>
    <t>01110402</t>
  </si>
  <si>
    <t>01110501</t>
  </si>
  <si>
    <t>01110502</t>
  </si>
  <si>
    <t>01110301</t>
  </si>
  <si>
    <t>01110303</t>
  </si>
  <si>
    <t>01110302</t>
  </si>
  <si>
    <t>01110701</t>
  </si>
  <si>
    <t>01110702</t>
  </si>
  <si>
    <t>01110801</t>
  </si>
  <si>
    <t>01110802</t>
  </si>
  <si>
    <t>08020102</t>
  </si>
  <si>
    <t>10030701</t>
  </si>
  <si>
    <t>10030702</t>
  </si>
  <si>
    <t>11022001</t>
  </si>
  <si>
    <t>11022002</t>
  </si>
  <si>
    <t>11022003</t>
  </si>
  <si>
    <t>11022004</t>
  </si>
  <si>
    <t>11022005</t>
  </si>
  <si>
    <t>11022006</t>
  </si>
  <si>
    <t>11022007</t>
  </si>
  <si>
    <t>11022008</t>
  </si>
  <si>
    <t>11022009</t>
  </si>
  <si>
    <t>11022010</t>
  </si>
  <si>
    <t>11022011</t>
  </si>
  <si>
    <t>11022012</t>
  </si>
  <si>
    <t>11022017</t>
  </si>
  <si>
    <t>11022013</t>
  </si>
  <si>
    <t>11022014</t>
  </si>
  <si>
    <t>11022018</t>
  </si>
  <si>
    <t>11022015</t>
  </si>
  <si>
    <t>11022016</t>
  </si>
  <si>
    <t>11022019</t>
  </si>
  <si>
    <t>12011001</t>
  </si>
  <si>
    <t>12011002</t>
  </si>
  <si>
    <t>12011003</t>
  </si>
  <si>
    <t>12011004</t>
  </si>
  <si>
    <t>12011005</t>
  </si>
  <si>
    <t>13050602</t>
  </si>
  <si>
    <t>13050603</t>
  </si>
  <si>
    <t>13050601</t>
  </si>
  <si>
    <t>08041401</t>
  </si>
  <si>
    <t>07020401</t>
  </si>
  <si>
    <t>07020402</t>
  </si>
  <si>
    <t>07020403</t>
  </si>
  <si>
    <t>06010202</t>
  </si>
  <si>
    <t>06010201</t>
  </si>
  <si>
    <t>07020301</t>
  </si>
  <si>
    <t>07020302</t>
  </si>
  <si>
    <t>07020303</t>
  </si>
  <si>
    <t>07020304</t>
  </si>
  <si>
    <t>05030101</t>
  </si>
  <si>
    <t>05030102</t>
  </si>
  <si>
    <t>05030103</t>
  </si>
  <si>
    <t>06020304</t>
  </si>
  <si>
    <t>06020301</t>
  </si>
  <si>
    <t>06020302</t>
  </si>
  <si>
    <t>06020303</t>
  </si>
  <si>
    <t>06020204</t>
  </si>
  <si>
    <t>06020201</t>
  </si>
  <si>
    <t>06020202</t>
  </si>
  <si>
    <t>06020203</t>
  </si>
  <si>
    <t>08010301</t>
  </si>
  <si>
    <t>08010303</t>
  </si>
  <si>
    <t>08010302</t>
  </si>
  <si>
    <t>10041201</t>
  </si>
  <si>
    <t>10041301</t>
  </si>
  <si>
    <t>10041202</t>
  </si>
  <si>
    <t>10041302</t>
  </si>
  <si>
    <t>10041203</t>
  </si>
  <si>
    <t>10041303</t>
  </si>
  <si>
    <t>10041204</t>
  </si>
  <si>
    <t>10041304</t>
  </si>
  <si>
    <t>10021003</t>
  </si>
  <si>
    <t>10021001</t>
  </si>
  <si>
    <t>10021002</t>
  </si>
  <si>
    <t>10020903</t>
  </si>
  <si>
    <t>10020901</t>
  </si>
  <si>
    <t>10020902</t>
  </si>
  <si>
    <t>04040303</t>
  </si>
  <si>
    <t>04040302</t>
  </si>
  <si>
    <t>05040301</t>
  </si>
  <si>
    <t>10100101</t>
  </si>
  <si>
    <t>10100103</t>
  </si>
  <si>
    <t>10100201</t>
  </si>
  <si>
    <t>79020104</t>
  </si>
  <si>
    <t>79020102</t>
  </si>
  <si>
    <t>79020103</t>
  </si>
  <si>
    <t>06040204</t>
  </si>
  <si>
    <t>06040202</t>
  </si>
  <si>
    <t>06040203</t>
  </si>
  <si>
    <t>06040304</t>
  </si>
  <si>
    <t>06040302</t>
  </si>
  <si>
    <t>06040303</t>
  </si>
  <si>
    <t>06040401</t>
  </si>
  <si>
    <t>06040102</t>
  </si>
  <si>
    <t>06040104</t>
  </si>
  <si>
    <t>06040103</t>
  </si>
  <si>
    <t>06040402</t>
  </si>
  <si>
    <t>79020301</t>
  </si>
  <si>
    <t>11012701</t>
  </si>
  <si>
    <t>15010103</t>
  </si>
  <si>
    <t>15010203</t>
  </si>
  <si>
    <t>15010204</t>
  </si>
  <si>
    <t>15010104</t>
  </si>
  <si>
    <t>15010101</t>
  </si>
  <si>
    <t>15010201</t>
  </si>
  <si>
    <t>11012704</t>
  </si>
  <si>
    <t>11012706</t>
  </si>
  <si>
    <t>11012703</t>
  </si>
  <si>
    <t>08040901</t>
  </si>
  <si>
    <t>01140101</t>
  </si>
  <si>
    <t>01140102</t>
  </si>
  <si>
    <t>06020116</t>
  </si>
  <si>
    <t>79010101</t>
  </si>
  <si>
    <t>83020301</t>
  </si>
  <si>
    <t>79010102</t>
  </si>
  <si>
    <t>79010104</t>
  </si>
  <si>
    <t>79010103</t>
  </si>
  <si>
    <t>04020104</t>
  </si>
  <si>
    <t>04020101</t>
  </si>
  <si>
    <t>04020102</t>
  </si>
  <si>
    <t>04020103</t>
  </si>
  <si>
    <t>04020204</t>
  </si>
  <si>
    <t>04020201</t>
  </si>
  <si>
    <t>04020202</t>
  </si>
  <si>
    <t>04020203</t>
  </si>
  <si>
    <t>17010601</t>
  </si>
  <si>
    <t>05010101</t>
  </si>
  <si>
    <t>07010202</t>
  </si>
  <si>
    <t>07010203</t>
  </si>
  <si>
    <t>07010103</t>
  </si>
  <si>
    <t>07010101</t>
  </si>
  <si>
    <t>07010102</t>
  </si>
  <si>
    <t>10040101</t>
  </si>
  <si>
    <t>13110101</t>
  </si>
  <si>
    <t>13110102</t>
  </si>
  <si>
    <t>13110103</t>
  </si>
  <si>
    <t>13110104</t>
  </si>
  <si>
    <t>13110105</t>
  </si>
  <si>
    <t>13110106</t>
  </si>
  <si>
    <t>11011001</t>
  </si>
  <si>
    <t>11012705</t>
  </si>
  <si>
    <t>11012702</t>
  </si>
  <si>
    <t>96010101</t>
  </si>
  <si>
    <t>06050104</t>
  </si>
  <si>
    <t>06050106</t>
  </si>
  <si>
    <t>77010101</t>
  </si>
  <si>
    <t>77010102</t>
  </si>
  <si>
    <t>82020102</t>
  </si>
  <si>
    <t>83010101</t>
  </si>
  <si>
    <t>83010100</t>
  </si>
  <si>
    <t>81030102</t>
  </si>
  <si>
    <t>81040102</t>
  </si>
  <si>
    <t>79010105</t>
  </si>
  <si>
    <t>10030301</t>
  </si>
  <si>
    <t>10030302</t>
  </si>
  <si>
    <t>13090102</t>
  </si>
  <si>
    <t>13090301</t>
  </si>
  <si>
    <t>13080102</t>
  </si>
  <si>
    <t>13080301</t>
  </si>
  <si>
    <t>17010104</t>
  </si>
  <si>
    <t>11011201</t>
  </si>
  <si>
    <t>11011301</t>
  </si>
  <si>
    <t>10080701</t>
  </si>
  <si>
    <t>10080601</t>
  </si>
  <si>
    <t>10080603</t>
  </si>
  <si>
    <t>10080501</t>
  </si>
  <si>
    <t>04050303</t>
  </si>
  <si>
    <t>04050302</t>
  </si>
  <si>
    <t>05060101</t>
  </si>
  <si>
    <t>06020115</t>
  </si>
  <si>
    <t>06020104</t>
  </si>
  <si>
    <t>06020114</t>
  </si>
  <si>
    <t>06020103</t>
  </si>
  <si>
    <t>06020111</t>
  </si>
  <si>
    <t>08041301</t>
  </si>
  <si>
    <t>17010300</t>
  </si>
  <si>
    <t>17010500</t>
  </si>
  <si>
    <t>05070101</t>
  </si>
  <si>
    <t>06050105</t>
  </si>
  <si>
    <t>07010702</t>
  </si>
  <si>
    <t>05010105</t>
  </si>
  <si>
    <t>05010106</t>
  </si>
  <si>
    <t>10080101</t>
  </si>
  <si>
    <t>10080103</t>
  </si>
  <si>
    <t>10081801</t>
  </si>
  <si>
    <t>10080301</t>
  </si>
  <si>
    <t>10080201</t>
  </si>
  <si>
    <t>10080401</t>
  </si>
  <si>
    <t>07010802</t>
  </si>
  <si>
    <t>07010901</t>
  </si>
  <si>
    <t>07010903</t>
  </si>
  <si>
    <t>07010902</t>
  </si>
  <si>
    <t>07010602</t>
  </si>
  <si>
    <t>07010601</t>
  </si>
  <si>
    <t>07010603</t>
  </si>
  <si>
    <t>07011302</t>
  </si>
  <si>
    <t>07011303</t>
  </si>
  <si>
    <t>07011301</t>
  </si>
  <si>
    <t>07011202</t>
  </si>
  <si>
    <t>07011201</t>
  </si>
  <si>
    <t>07011002</t>
  </si>
  <si>
    <t>07011102</t>
  </si>
  <si>
    <t>10110103</t>
  </si>
  <si>
    <t>10110101</t>
  </si>
  <si>
    <t>10020301</t>
  </si>
  <si>
    <t>10120601</t>
  </si>
  <si>
    <t>10030601</t>
  </si>
  <si>
    <t>10120501</t>
  </si>
  <si>
    <t>11011101</t>
  </si>
  <si>
    <t>83030501</t>
  </si>
  <si>
    <t>10120102</t>
  </si>
  <si>
    <t>10120101</t>
  </si>
  <si>
    <t>90020103</t>
  </si>
  <si>
    <t>10120104</t>
  </si>
  <si>
    <t>10120103</t>
  </si>
  <si>
    <t>08050102</t>
  </si>
  <si>
    <t>10020501</t>
  </si>
  <si>
    <t>10030501</t>
  </si>
  <si>
    <t>10020401</t>
  </si>
  <si>
    <t>13110701</t>
  </si>
  <si>
    <t>13110702</t>
  </si>
  <si>
    <t>06050101</t>
  </si>
  <si>
    <t>80020101</t>
  </si>
  <si>
    <t>80010101</t>
  </si>
  <si>
    <t>80010301</t>
  </si>
  <si>
    <t>90030120</t>
  </si>
  <si>
    <t>90020110</t>
  </si>
  <si>
    <t>80030101</t>
  </si>
  <si>
    <t>90020112</t>
  </si>
  <si>
    <t>80030301</t>
  </si>
  <si>
    <t>11012501</t>
  </si>
  <si>
    <t>11012502</t>
  </si>
  <si>
    <t>11012601</t>
  </si>
  <si>
    <t>11012602</t>
  </si>
  <si>
    <t>11012402</t>
  </si>
  <si>
    <t>11012401</t>
  </si>
  <si>
    <t>01170110</t>
  </si>
  <si>
    <t>01170104</t>
  </si>
  <si>
    <t>01170103</t>
  </si>
  <si>
    <t>01170101</t>
  </si>
  <si>
    <t>01170102</t>
  </si>
  <si>
    <t>01170113</t>
  </si>
  <si>
    <t>01170112</t>
  </si>
  <si>
    <t>01170111</t>
  </si>
  <si>
    <t>01170119</t>
  </si>
  <si>
    <t>01170115</t>
  </si>
  <si>
    <t>01170114</t>
  </si>
  <si>
    <t>01170118</t>
  </si>
  <si>
    <t>01170120</t>
  </si>
  <si>
    <t>01170107</t>
  </si>
  <si>
    <t>01170106</t>
  </si>
  <si>
    <t>01170108</t>
  </si>
  <si>
    <t>01170109</t>
  </si>
  <si>
    <t>01170116</t>
  </si>
  <si>
    <t>01170117</t>
  </si>
  <si>
    <t>PRECIO</t>
  </si>
  <si>
    <t>MONEDA</t>
  </si>
  <si>
    <t>MXP</t>
  </si>
  <si>
    <t>USD</t>
  </si>
  <si>
    <t>ROD-01</t>
  </si>
  <si>
    <t>Cinta Selladucto</t>
  </si>
  <si>
    <t>Festergrout</t>
  </si>
  <si>
    <t>Gunther</t>
  </si>
  <si>
    <t>Thinner</t>
  </si>
  <si>
    <t>Placa de Neopreno</t>
  </si>
  <si>
    <t>Trapo Limpio</t>
  </si>
  <si>
    <t xml:space="preserve">Transp. </t>
  </si>
  <si>
    <t>Blanco</t>
  </si>
  <si>
    <t>Negro</t>
  </si>
  <si>
    <t>Transparente</t>
  </si>
  <si>
    <t>Gris</t>
  </si>
  <si>
    <t xml:space="preserve">Blanco, Negro </t>
  </si>
  <si>
    <t>Blanco, Negro</t>
  </si>
  <si>
    <t>Gris claro</t>
  </si>
  <si>
    <t>Gris Europa</t>
  </si>
  <si>
    <t>Beige, Gris</t>
  </si>
  <si>
    <t xml:space="preserve"> Negro</t>
  </si>
  <si>
    <t>Beige</t>
  </si>
  <si>
    <t>Azul</t>
  </si>
  <si>
    <t>Amarillo</t>
  </si>
  <si>
    <t>Incoloro</t>
  </si>
  <si>
    <t>Blanca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</si>
  <si>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</si>
  <si>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</si>
  <si>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</si>
  <si>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</si>
  <si>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</si>
  <si>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</si>
  <si>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</si>
  <si>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</si>
  <si>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</si>
  <si>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</si>
  <si>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</si>
  <si>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</si>
  <si>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</si>
  <si>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</si>
  <si>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</si>
  <si>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</si>
  <si>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</si>
  <si>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</si>
  <si>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</si>
  <si>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</si>
  <si>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</si>
  <si>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</si>
  <si>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</si>
  <si>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Beige</t>
  </si>
  <si>
    <t>Acrilastic Sellador Acrílico - Gris</t>
  </si>
  <si>
    <t>Acrilastic Sellador Acrílico - Negro</t>
  </si>
  <si>
    <t>1/4"  Caja con 1,219 mt.</t>
  </si>
  <si>
    <t>3/8"  Caja con 640 mt.</t>
  </si>
  <si>
    <t>1/2"  Caja con  762 mt.</t>
  </si>
  <si>
    <t>3/4"  Caja con 335 mt</t>
  </si>
  <si>
    <t>Backer Rod Cilíndrico - 1/4"  Caja  1,219 ml</t>
  </si>
  <si>
    <t>Backer Rod Cilíndrico - 3/8"  Caja con 640 ml</t>
  </si>
  <si>
    <t>Backer Rod Cilíndrico - 1/2"  Caja con 762 ml</t>
  </si>
  <si>
    <t>Ancho 1/4" X Espesor 1/8"</t>
  </si>
  <si>
    <t>(Rollo c/20 mts.)</t>
  </si>
  <si>
    <t>Ancho 3/8" X Espesor 1/8"</t>
  </si>
  <si>
    <t>Ancho 1/4" X Espesor 1/"4</t>
  </si>
  <si>
    <t>(Rollo c/15.25 mts.)</t>
  </si>
  <si>
    <t>Ancho 12 mm X Espesor 1mm</t>
  </si>
  <si>
    <t>48 X 50 mm</t>
  </si>
  <si>
    <t>18 X 50 mm</t>
  </si>
  <si>
    <t>Saco con 30 kgs.</t>
  </si>
  <si>
    <t>Cartucho c/ 300 ml</t>
  </si>
  <si>
    <t xml:space="preserve">Litro </t>
  </si>
  <si>
    <t>Mt2</t>
  </si>
  <si>
    <t>Kilo</t>
  </si>
  <si>
    <t>(Cubeta de 19 Lts.)</t>
  </si>
  <si>
    <t>Backer Rod Cilíndrico - 3/4"  Caja con 335 ml</t>
  </si>
  <si>
    <t xml:space="preserve">   1 " Caja con 182mt.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</si>
  <si>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</si>
  <si>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</si>
  <si>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</si>
  <si>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</si>
  <si>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</si>
  <si>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</si>
  <si>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</si>
  <si>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</si>
  <si>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</si>
  <si>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</si>
  <si>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Masking Tape 3M - Beige</t>
  </si>
  <si>
    <t>Masking Tape 3M - Azul</t>
  </si>
  <si>
    <t>Alcohol Isopropilico</t>
  </si>
  <si>
    <t>Primer - Negro</t>
  </si>
  <si>
    <t>Primer - Gris</t>
  </si>
  <si>
    <t>Primer - Blanco</t>
  </si>
  <si>
    <t>ROD-02</t>
  </si>
  <si>
    <t>ROD-03</t>
  </si>
  <si>
    <t>ROD-04</t>
  </si>
  <si>
    <t>ROD-05</t>
  </si>
  <si>
    <t>ROD-06</t>
  </si>
  <si>
    <t>ROD-07</t>
  </si>
  <si>
    <t>ROD-08</t>
  </si>
  <si>
    <t>ROD-09</t>
  </si>
  <si>
    <t>ROD-10</t>
  </si>
  <si>
    <t>ROD-11</t>
  </si>
  <si>
    <t>ROD-12</t>
  </si>
  <si>
    <t>ROD-13</t>
  </si>
  <si>
    <t>ROD-14</t>
  </si>
  <si>
    <t>ROD-15</t>
  </si>
  <si>
    <t>ROD-16</t>
  </si>
  <si>
    <t>ROD-17</t>
  </si>
  <si>
    <t>ROD-18</t>
  </si>
  <si>
    <t>ROD-19</t>
  </si>
  <si>
    <t>ROD-20</t>
  </si>
  <si>
    <t>ROD-21</t>
  </si>
  <si>
    <t>ROD-22</t>
  </si>
  <si>
    <t>ROD-23</t>
  </si>
  <si>
    <t>ROD-24</t>
  </si>
  <si>
    <t>ROD-25</t>
  </si>
  <si>
    <t>ROD-26</t>
  </si>
  <si>
    <t>ROD-27</t>
  </si>
  <si>
    <t>ROD-28</t>
  </si>
  <si>
    <t>ROD-29</t>
  </si>
  <si>
    <t>ROD-30</t>
  </si>
  <si>
    <t>ROD-31</t>
  </si>
  <si>
    <t>ROD-32</t>
  </si>
  <si>
    <t>ROD-33</t>
  </si>
  <si>
    <t>ROD-34</t>
  </si>
  <si>
    <t>ROD-35</t>
  </si>
  <si>
    <t>ROD-36</t>
  </si>
  <si>
    <t>ROD-37</t>
  </si>
  <si>
    <t>ROD-38</t>
  </si>
  <si>
    <t>ROD-39</t>
  </si>
  <si>
    <t>ROD-40</t>
  </si>
  <si>
    <t>ROD-41</t>
  </si>
  <si>
    <t>ROD-42</t>
  </si>
  <si>
    <t>ROD-43</t>
  </si>
  <si>
    <t>ROD-44</t>
  </si>
  <si>
    <t>ROD-45</t>
  </si>
  <si>
    <t>ROD-46</t>
  </si>
  <si>
    <t>ROD-47</t>
  </si>
  <si>
    <t>ROD-48</t>
  </si>
  <si>
    <t>ROD-49</t>
  </si>
  <si>
    <t>ROD-50</t>
  </si>
  <si>
    <t>ROD-51</t>
  </si>
  <si>
    <t>ROD-52</t>
  </si>
  <si>
    <t>ROD-53</t>
  </si>
  <si>
    <t>ATORNILLADOR MILWAUKEE 12V VV 240222</t>
  </si>
  <si>
    <t>ATORNILLADOR MILWAUKEE 4V¬ VVR 210122</t>
  </si>
  <si>
    <t>ATORNILLADOR MILWAUKEE 780W VVR 679121</t>
  </si>
  <si>
    <t>ATORNILLADOR MILWAUKEE IMPAC M12 FUE345 322</t>
  </si>
  <si>
    <t>ATORNILLADOR MILWAUKEE M12 2P 249422</t>
  </si>
  <si>
    <t>ATORNILLADOR MILWAUKEE M12 3/8 S/BAT240 720</t>
  </si>
  <si>
    <t>ATORNILLADOR MILWAUKEE M18 TABLAROCA 286622</t>
  </si>
  <si>
    <t xml:space="preserve">MATRA M12 3/8256 021 MILWAUKEE </t>
  </si>
  <si>
    <t>MULTIMETRO MILWAUKEE 50 AMP 220220</t>
  </si>
  <si>
    <t>MULTIMETRO MILWAUKEE AMPERI HVAC/R 220520</t>
  </si>
  <si>
    <t>MULTIMETRO MILWAUKEE DIGITAL 600V 221620</t>
  </si>
  <si>
    <t>RECTIFICADOR MILWAUKEE 1320W ¬ 5196</t>
  </si>
  <si>
    <t>ROTOMARTILLO MILWAUKEE 1/2 M18 BRUSH360 222</t>
  </si>
  <si>
    <t>ROTOMARTILLO MILWAUKEE 12V VVR 240822</t>
  </si>
  <si>
    <t>ROTOMARTILLO MILWAUKEE 640W « VVR 537420</t>
  </si>
  <si>
    <t>ROTOMARTILLO MILWAUKEE 900W « VVR 537520</t>
  </si>
  <si>
    <t>ROTOMARTILLO MILWAUKEE 960W 1/2 VVR 537620</t>
  </si>
  <si>
    <t>ROTOMARTILLO MILWAUKEE DEMO 12K SDSM534 221</t>
  </si>
  <si>
    <t>ROTOMARTILLO MILWAUKEE FUEL S/B-S/C 290 420</t>
  </si>
  <si>
    <t>ROTOMARTILLO MILWAUKEE M12 3/8 S/BAT240 820</t>
  </si>
  <si>
    <t>ROTOMARTILLO MILWAUKEE M18 S/B-S/C 260720</t>
  </si>
  <si>
    <t>ROTOMARTILLO MILWAUKEE SDSP 1-1/32 538621</t>
  </si>
  <si>
    <t>S/CIRCULAR MILWAUKEE 1800W 7¬ 643020</t>
  </si>
  <si>
    <t>S/CIRCULAR MILWAUKEE M18 6 1/2" 283 120</t>
  </si>
  <si>
    <t>TORNILLO  CABEZA HEXAGONAL 1/4" X 1"</t>
  </si>
  <si>
    <t>ATORNILLADOR BOSCH   12V 19F40G GSR 1000SM</t>
  </si>
  <si>
    <t>ATORNILLADOR BOSCH   12V VV 19G80GGSR 120LI</t>
  </si>
  <si>
    <t>ATORNILLADOR BOSCH   3,6V 19H21 BOS CHGO2</t>
  </si>
  <si>
    <t>ATORNILLADOR BOSCH   5EN1 19F60G  SR1 2V15FC</t>
  </si>
  <si>
    <t>ATORNILLADOR BOSCH   700W VV 14451GSR 645TE</t>
  </si>
  <si>
    <t>CALADORA   BOSCH   15B41 VV   GST 700</t>
  </si>
  <si>
    <t>CALADORA   BOSCH   650W VV 158F0GST 90BE</t>
  </si>
  <si>
    <t>CALADORA   BOSCH   710W 158H0G  GST 75E</t>
  </si>
  <si>
    <t>CALADORA   BOSCH   750W VV 15130GST 150BCE</t>
  </si>
  <si>
    <t>CEPILLO  BOSCH   710W 3¼ 15A43GH0 2682</t>
  </si>
  <si>
    <t>CORTADORA  BOSCH   METAL 1B371G GCO 220</t>
  </si>
  <si>
    <t xml:space="preserve">DET/MAT 10810GMS 120 BOSCH   </t>
  </si>
  <si>
    <t>ESMERILADORA BOSCH   2200W 18F20G1WS2 200230</t>
  </si>
  <si>
    <t>ESMERILADORA BOSCH   2200W 7 18F10WS2 200180</t>
  </si>
  <si>
    <t>ESMERILADORA BOSCH   2500W 18F40G1GWS 25230</t>
  </si>
  <si>
    <t>ESMERILADORA BOSCH   2800W 9 18F60GWS 26230</t>
  </si>
  <si>
    <t>FLEXOMETRO BOSCH   GLM 15027-C  LAS ER</t>
  </si>
  <si>
    <t>FLEXOMETRO BOSCH   GLM 25-23  LAS ER</t>
  </si>
  <si>
    <t>FLEXOMETRO BOSCH   GLM 40   LAS ER</t>
  </si>
  <si>
    <t>FLEXOMETRO BOSCH   GLM 50-12  LAS ER</t>
  </si>
  <si>
    <t>FLEXOMETRO BOSCH   GLM 5027-CG  LAS ER</t>
  </si>
  <si>
    <t>FLEXOMETRO BOSCH   RUEDA 10740  GWM 32</t>
  </si>
  <si>
    <t>JUEGOS   BOSCH   18V GDX+GSB1819G 52</t>
  </si>
  <si>
    <t>JUEGOS   BOSCH   23 PZ P/MULTI 8661</t>
  </si>
  <si>
    <t>JUEGOS   BOSCH   PUNTAS 25PZ  701 7400</t>
  </si>
  <si>
    <t>LIJADORA   BOSCH   190W 10707 GGS 23AE</t>
  </si>
  <si>
    <t>LIJADORA   BOSCH   220W ¼ 12A80GGSS 140</t>
  </si>
  <si>
    <t>LIJADORA   BOSCH   280W 5 13A80GGEX 125</t>
  </si>
  <si>
    <t xml:space="preserve">MED/ANG 10766GAM 220MF BOSCH   </t>
  </si>
  <si>
    <t xml:space="preserve">MED/INC 10769GIM 60L BOSCH   </t>
  </si>
  <si>
    <t>MARTILLO   BOSCH   18V 119111E1 GBH 180LI</t>
  </si>
  <si>
    <t>MARTILLO   BOSCH   36V VVR SDS  190 0R</t>
  </si>
  <si>
    <t>MARTILLO   BOSCH   720W VV 112A6GBH 220</t>
  </si>
  <si>
    <t>MARTILLO   BOSCH   800W SDS 1123GBH 328DRE</t>
  </si>
  <si>
    <t>MARTILLO   BOSCH   800W VV 11253GBH 226DRE</t>
  </si>
  <si>
    <t>MARTILLO   BOSCH   800W VV 112A0GBH 224D</t>
  </si>
  <si>
    <t>MARTILLO   BOSCH   DEMOLED 1130AGSH 27VC</t>
  </si>
  <si>
    <t>MARTILLO   BOSCH   DEMOLED 11321GSH 5CE</t>
  </si>
  <si>
    <t>MARTILLO   BOSCH   SDS 113321 GBH 432DFR</t>
  </si>
  <si>
    <t>MARTILLO   BOSCH   SDS/MA 112660GBH 1252DV</t>
  </si>
  <si>
    <t>MARTILLO   BOSCH   SDS/MAX 11264GBH 540DCE</t>
  </si>
  <si>
    <t>MARTILLO   BOSCH   SDS/MAX 11265GBH 845D</t>
  </si>
  <si>
    <t>MARTILLO   BOSCH   SDS/MAX 11316GSH 11E</t>
  </si>
  <si>
    <t>MARTILLO   BOSCH   SDS/MAX 11337GSH 5</t>
  </si>
  <si>
    <t>MINIESMERIL  BOSCH   1100W 5 179G0GWS 1350V</t>
  </si>
  <si>
    <t>MINIESMERIL  BOSCH   15A00 4 1377GGWS 850</t>
  </si>
  <si>
    <t>MINIESMERIL  BOSCH   1700W 17D03G0GWS 17125S</t>
  </si>
  <si>
    <t>MINIESMERIL  BOSCH   710W 4« 13A30GWS 700</t>
  </si>
  <si>
    <t>MINIESMERIL  BOSCH   900W 4½ 13960GWS 9125</t>
  </si>
  <si>
    <t>MINIESMERIL  BOSCH   900W VV 13961GWS 9125S</t>
  </si>
  <si>
    <t>NIVEL LASER  BOSCH   1065321  GL1 222</t>
  </si>
  <si>
    <t>NIVEL LASER  BOSCH   C/PLOMO 1063SGLL 380</t>
  </si>
  <si>
    <t>NIVEL LASER  BOSCH   OPTICO 1068  GOL 26D</t>
  </si>
  <si>
    <t>NIVEL LASER  BOSCH   PLOMO 1066M01GCL 250CG</t>
  </si>
  <si>
    <t>NIVEL LASER  BOSCH   V 1063Y/1063TGLL 380CG</t>
  </si>
  <si>
    <t>NIVEL LASER  BOSCH   VDE 1063VD GLL 212G</t>
  </si>
  <si>
    <t>NIVEL LASER  BOSCH   VDE 15M 1066JGCL 215G</t>
  </si>
  <si>
    <t>PISTOLA  BOSCH   CALOR 194D0  GHG 180</t>
  </si>
  <si>
    <t>PULIDORA   BOSCH   1250W VV 1389GPO 12CE</t>
  </si>
  <si>
    <t>RECTIFICADOR BOSCH   500W 12230 GSS 28</t>
  </si>
  <si>
    <t>RECTIFICADOR BOSCH   500W 12B50 GGS 30LS</t>
  </si>
  <si>
    <t>RECTIFICADOR BOSCH   650W VV 1220 GGS 28CE</t>
  </si>
  <si>
    <t>RECTIFICADOR BOSCH   650W VV 1221 GGS 28LCE</t>
  </si>
  <si>
    <t>ROTOMARTILLO BOSCH   12V LI 19F30G 19G81G</t>
  </si>
  <si>
    <t>ROTOMARTILLO BOSCH   18V 19H51  GSB 18V50</t>
  </si>
  <si>
    <t>ROTOMARTILLO BOSCH   18V 19K31  GSB 185LI</t>
  </si>
  <si>
    <t>ROTOMARTILLO BOSCH   450W 11B50 GSB 450RE</t>
  </si>
  <si>
    <t>ROTOMARTILLO BOSCH   550W 11B60G  GSB 550RE</t>
  </si>
  <si>
    <t>ROTOMARTILLO BOSCH   750W VV 12B80GSB 13RE</t>
  </si>
  <si>
    <t>ROTOMARTILLO BOSCH   750W VV 12B90GSB 16RE</t>
  </si>
  <si>
    <t>ROTOMARTILLO BOSCH   800W VV 11A21GSB 202RE</t>
  </si>
  <si>
    <t>ROUTER   BOSCH   1600W 1624G0 GOF 1600CE</t>
  </si>
  <si>
    <t>ROUTER   BOSCH   2¼HP VV 16177161 7EVS</t>
  </si>
  <si>
    <t>ROUTER   BOSCH   550W ¼ 16A0  GKF 550</t>
  </si>
  <si>
    <t>S/CIRCULAR BOSCH   1500W 16B30  GKS 150</t>
  </si>
  <si>
    <t>S/CIRCULAR BOSCH   1700W 9 157A0GKS 235</t>
  </si>
  <si>
    <t>S/INGLETE  BOSCH   1650W 10 1B15GCM 254</t>
  </si>
  <si>
    <t>SEGUETA  BOSCH   101/111/144  244  T5PZ</t>
  </si>
  <si>
    <t>SEGUETA  BOSCH   101/111/144/ 244  U/3PZ</t>
  </si>
  <si>
    <t>SEGUETA  BOSCH   101-BIF/AOF  234 X</t>
  </si>
  <si>
    <t>SEGUETA  BOSCH   118 A/B/G/127T/5 PZ</t>
  </si>
  <si>
    <t>SEGUETA  BOSCH   118 A/B/G127DU/3 PZ</t>
  </si>
  <si>
    <t>SEGUETA  BOSCH   JGO 8PZ/T308B T101AO</t>
  </si>
  <si>
    <t>SIERRA   BOSCH   MARMOL 15487 GDC 151</t>
  </si>
  <si>
    <t>TALADRO  BOSCH   350W VV 1472 GBM 6RE</t>
  </si>
  <si>
    <t>TALADRO  BOSCH   550W VV 14736GBM 10RE</t>
  </si>
  <si>
    <t>TALADRO  BOSCH   800W VVR « 11B80G</t>
  </si>
  <si>
    <t>TALADRO  BOSCH   ESPADA 11B00GGBM 1600RE</t>
  </si>
  <si>
    <t xml:space="preserve">VIB/CHI 2831GGVC 22EX BOSCH   </t>
  </si>
  <si>
    <t xml:space="preserve">VIBRAD 2831G0GVC 22EX BOSCH   </t>
  </si>
  <si>
    <t>ATORNILLADOR DEWALT  20V IMPAC  DCF 887D2</t>
  </si>
  <si>
    <t>ATORNILLADOR DEWALT  20V IMPAC S/BDCF 7871B</t>
  </si>
  <si>
    <t>ATORNILLADOR DEWALT  20V VVR S/CARDCF 620D2</t>
  </si>
  <si>
    <t>ATORNILLADOR DEWALT  510W VVR DW255</t>
  </si>
  <si>
    <t>ATORNILLADOR DEWALT  540W VVR   DW2 69</t>
  </si>
  <si>
    <t>ATORNILLADOR DEWALT  540W VVR DW272W</t>
  </si>
  <si>
    <t>ATORNILLADOR DEWALT  6V GIRA DCF008</t>
  </si>
  <si>
    <t xml:space="preserve">ATORNILLADOR DEWALT  DCD800D2 </t>
  </si>
  <si>
    <t>CALADORA   DEWALT  500W VV  DWE 300</t>
  </si>
  <si>
    <t>CALADORA   DEWALT  650W VV DW317</t>
  </si>
  <si>
    <t>CALADORA   DEWALT  780W VV DW331K</t>
  </si>
  <si>
    <t>CEPILLO  DEWALT  2000W 12«" DW734</t>
  </si>
  <si>
    <t>CEPILLO  DEWALT  600W 3¬  DW6 80K</t>
  </si>
  <si>
    <t>CLAVADORA  DEWALT  20V 5/8-2" DCN 680D1</t>
  </si>
  <si>
    <t>COMPRESORA DEWALT  6 GL 1,5HP DWF P55126</t>
  </si>
  <si>
    <t>COMPRESORA DEWALT  6G 1,5HP   D20 02MWK</t>
  </si>
  <si>
    <t>CORTADORA  DEWALT  14 METALICO DW872</t>
  </si>
  <si>
    <t>CORTADORA  DEWALT  20V 3"   DCS 438B</t>
  </si>
  <si>
    <t>CORTADORA  DEWALT  MARM 4 3/8 DWC 860W</t>
  </si>
  <si>
    <t>CORTADORA  DEWALT  MARMOL 4 3/8 DW8 62W</t>
  </si>
  <si>
    <t>CORTADORA  DEWALT  METAL 2200 14D28 730</t>
  </si>
  <si>
    <t>ESMERIL  DEWALT  BANCO « HP 6"DW7 52</t>
  </si>
  <si>
    <t>ESMERIL  DEWALT  BANCO 3/4HP 8DW7 58</t>
  </si>
  <si>
    <t>ESMERILADORA DEWALT  2200W 7" DWE491</t>
  </si>
  <si>
    <t>ESMERILADORA DEWALT  2200W 9"   DWE 490</t>
  </si>
  <si>
    <t>ESMERILADORA DEWALT  2400W 7"   DWE 4557</t>
  </si>
  <si>
    <t>FLEXOMETRO DEWALT  LASER 100M DW0 330S</t>
  </si>
  <si>
    <t>LIJADORA   DEWALT  20V 5"   DWC 210D1</t>
  </si>
  <si>
    <t>LIJADORA   DEWALT  230W 1/4H  DWE 6411</t>
  </si>
  <si>
    <t>LIJADORA   DEWALT  300W 5"  DWE 6421</t>
  </si>
  <si>
    <t>LIJADORA   DEWALT  300W 5" VV DWE 6423K</t>
  </si>
  <si>
    <t>MARTILLO   DEWALT  10K VVR  D25 892K</t>
  </si>
  <si>
    <t>MARTILLO   DEWALT  1500W 12K  D25 911K</t>
  </si>
  <si>
    <t>MARTILLO   DEWALT  DEMOL 10K VVRD25 901K</t>
  </si>
  <si>
    <t>MARTILLO   DEWALT  DEMOL 15KG D25 966</t>
  </si>
  <si>
    <t>MARTILLO   DEWALT  DEMOL 30K VVR D25980</t>
  </si>
  <si>
    <t>MINIESMERIL  DEWALT  1200W 4  DWE 4212</t>
  </si>
  <si>
    <t>MINIESMERIL  DEWALT  1500W 5"   DWE 4315</t>
  </si>
  <si>
    <t>MINIESMERIL  DEWALT  20V 5 SIN/BATDCG 412B</t>
  </si>
  <si>
    <t>MINIESMERIL  DEWALT  20V COMBO C/ BAT G412P2</t>
  </si>
  <si>
    <t>MINIESMERIL  DEWALT  700W 4«"   DWE 4010</t>
  </si>
  <si>
    <t>MINIESMERIL  DEWALT  750W 4«  DWE 750</t>
  </si>
  <si>
    <t>MINIESMERIL  DEWALT  800W 4½  DWE 4020</t>
  </si>
  <si>
    <t>MINIESMERIL  DEWALT  900W 4   DWE 4120</t>
  </si>
  <si>
    <t>MINIESMERIL  DEWALT  950W VV 4« DWE 4118</t>
  </si>
  <si>
    <t>MOTOTOOL   DEWALT  MULTI KIT  DWE 315K</t>
  </si>
  <si>
    <t>NIVEL LASER  DEWALT  12V 360 VDE  DW0 89LG</t>
  </si>
  <si>
    <t>NIVEL LASER  DEWALT  LASER AUTO 3PDW0 83K</t>
  </si>
  <si>
    <t>NIVEL LASER  DEWALT  LASER DW088K</t>
  </si>
  <si>
    <t>NIVEL LASER  DEWALT  LASER LIN VDEDW0 88LG</t>
  </si>
  <si>
    <t>NIVEL LASER  DEWALT  LASER LIN/PUNDW0 822</t>
  </si>
  <si>
    <t>NIVEL LASER  DEWALT  LASER VD CRUZDW0 88CG</t>
  </si>
  <si>
    <t>PISTOLA  DEWALT  20V CALOR  DCE 530B</t>
  </si>
  <si>
    <t>PISTOLA  DEWALT  CALOR VV   D26 411</t>
  </si>
  <si>
    <t>PULIDORA   DEWALT  1250W VV   DWP 849X</t>
  </si>
  <si>
    <t>RECTIFICADOR DEWALT  500W ¬-1/8 DWE 4887</t>
  </si>
  <si>
    <t>REMACHADORA  DEWALT  20V 1/4  DCF 414D2</t>
  </si>
  <si>
    <t>ROTOMARTILLO DEWALT  12V MAX  DCD 716D2</t>
  </si>
  <si>
    <t>ROTOMARTILLO DEWALT  20V BRUSHLESSDCD 796D2</t>
  </si>
  <si>
    <t>ROTOMARTILLO DEWALT  20V COMPA S/BDCD 805B</t>
  </si>
  <si>
    <t>ROTOMARTILLO DEWALT  20V MAX XR 3VDCD 996P2</t>
  </si>
  <si>
    <t>ROTOMARTILLO DEWALT  20V S/CARBON DCD 7781D2</t>
  </si>
  <si>
    <t>ROTOMARTILLO DEWALT  20V SDS  DCH 133M2</t>
  </si>
  <si>
    <t>ROTOMARTILLO DEWALT  20V SDS 3 MODDCH 273P2</t>
  </si>
  <si>
    <t>ROTOMARTILLO DEWALT  650W VV DW024DWE 1650SI</t>
  </si>
  <si>
    <t>ROTOMARTILLO DEWALT  700W VV  DW5 08</t>
  </si>
  <si>
    <t>ROTOMARTILLO DEWALT  700W VVR 1/2 DW5 05</t>
  </si>
  <si>
    <t>ROTOMARTILLO DEWALT  800W SDS VVR D25 134K</t>
  </si>
  <si>
    <t>ROTOMARTILLO DEWALT  800W VV 1 SDSD25 260K</t>
  </si>
  <si>
    <t>ROTOMARTILLO DEWALT  800W VVR SDS D25 133K</t>
  </si>
  <si>
    <t>ROTOMARTILLO DEWALT  SDS MAX 1050WD25 481K</t>
  </si>
  <si>
    <t>ROUTER   DEWALT  1 3/4HP ¬-« DW616</t>
  </si>
  <si>
    <t>ROUTER   DEWALT  2 1/4HP VV DW618</t>
  </si>
  <si>
    <t>ROUTER   DEWALT  20V S/BAT/CARDCW 600B</t>
  </si>
  <si>
    <t>ROUTER   DEWALT  ENCHAPA 550W DWE 6000</t>
  </si>
  <si>
    <t>S/CIRCULAR DEWALT  1800W 7  DWE 575</t>
  </si>
  <si>
    <t>S/CIRCULAR DEWALT  7¬ 1400W   DWE 560</t>
  </si>
  <si>
    <t>S/INGLETE  DEWALT  ANGULA 12" DWS 715</t>
  </si>
  <si>
    <t>S/INGLETE  DEWALT  ANGULA 12" DWS 780</t>
  </si>
  <si>
    <t>S/INGLETE  DEWALT  INGLET 10" DW7 14</t>
  </si>
  <si>
    <t>S/INGLETE  DEWALT  INGLET 10" DWS 713B3</t>
  </si>
  <si>
    <t>SIERRA   DEWALT  MESA 10 1800WDWE 7470</t>
  </si>
  <si>
    <t>SIERRA   DEWALT  SABLE 1200 VVDWE 304</t>
  </si>
  <si>
    <t>SOPLADORA  DEWALT  800W VV  DWB 800</t>
  </si>
  <si>
    <t>TALADRO  DEWALT  12V 3/8 2V DCD 700C2</t>
  </si>
  <si>
    <t>TALADRO  DEWALT  20V 2AMP   D77 71D</t>
  </si>
  <si>
    <t>TALADRO  DEWALT  20V BRUSHLESSDCD 791D2</t>
  </si>
  <si>
    <t>TALADRO  DEWALT  600W VVR 3/8 DWD014</t>
  </si>
  <si>
    <t>TALADRO  DEWALT  940W VVR « DW235G</t>
  </si>
  <si>
    <t>TALADRO  DEWALT  ESPADA 5/8 DW1 30V</t>
  </si>
  <si>
    <t>TALADRO  DEWALT  MAGNET 2"  DW1 622K</t>
  </si>
  <si>
    <t>ASPIRADORA MAKITA  1100W 20L  VC2 000L</t>
  </si>
  <si>
    <t>ASPIRADORA MAKITA  12V 106FDZ CL1 08FDZ</t>
  </si>
  <si>
    <t>ASPIRADORA MAKITA  T MOCHILA 18 VC2 61ZX11</t>
  </si>
  <si>
    <t>ATORNILLADOR MAKITA  12V VVR FD02 DF3 33DWYE</t>
  </si>
  <si>
    <t>ATORNILLADOR MAKITA  18V VVR  DDF 482RFE</t>
  </si>
  <si>
    <t>ATORNILLADOR MAKITA  3,6V KIT   DF0 01DW</t>
  </si>
  <si>
    <t>ATORNILLADOR MAKITA  40V IMPACTO  TD0 01GM20</t>
  </si>
  <si>
    <t>ATORNILLADOR MAKITA  570W P/LAMINA FS2701</t>
  </si>
  <si>
    <t>ATORNILLADOR MAKITA  570W VVR FS4200</t>
  </si>
  <si>
    <t>ATORNILLADOR MAKITA  570W VVR FS6300</t>
  </si>
  <si>
    <t>ATORNILLADOR MAKITA  COMBO 2PZ  CLX 228</t>
  </si>
  <si>
    <t>ATORNILLADOR MAKITA  IMPACT 18V VVDT0 2</t>
  </si>
  <si>
    <t>CALADORA   MAKITA  450W VV  M43 01B</t>
  </si>
  <si>
    <t>CALADORA   MAKITA  450W VV 4327K</t>
  </si>
  <si>
    <t>CALADORA   MAKITA  450W VV 4328K</t>
  </si>
  <si>
    <t>CALADORA   MAKITA  650W VV  JV0 600K</t>
  </si>
  <si>
    <t>CALADORA   MAKITA  720W VV 4350FC</t>
  </si>
  <si>
    <t>CALADORA   MAKITA  BANCO 50W VV SJ 401</t>
  </si>
  <si>
    <t>CEPILLO  MAKITA  1140W 6 1/8 1805N</t>
  </si>
  <si>
    <t>CEPILLO  MAKITA  1650W 12" 2012NB</t>
  </si>
  <si>
    <t>CEPILLO  MAKITA  580W 3¬  M19 02B</t>
  </si>
  <si>
    <t>CEPILLO  MAKITA  620W 3¬ KP0800</t>
  </si>
  <si>
    <t>CEPILLO  MAKITA  850W 4 3/8 1912B</t>
  </si>
  <si>
    <t>CIZALLA  MAKITA  300W 1,6MM JS1601</t>
  </si>
  <si>
    <t>CIZALLA  MAKITA  660W 3,2MM JS3201</t>
  </si>
  <si>
    <t>CLAVADORA  MAKITA  18 V   DPT 353Z</t>
  </si>
  <si>
    <t>CLAVADORA  MAKITA  NEUMAT AF505 AF506</t>
  </si>
  <si>
    <t>CORTADORA  MAKITA  12" 1750W METLC1 230</t>
  </si>
  <si>
    <t>CORTADORA  MAKITA  1200W 4 3/8" M04 00BC</t>
  </si>
  <si>
    <t>CORTADORA  MAKITA  12V VIDRIO CC3 01DWYE</t>
  </si>
  <si>
    <t>CORTADORA  MAKITA  14" 2000W 2414NB</t>
  </si>
  <si>
    <t>CORTADORA  MAKITA  1400W 5"   SG1 251J</t>
  </si>
  <si>
    <t>CORTADORA  MAKITA  MARM 1400W 410 0NH2X1</t>
  </si>
  <si>
    <t>CORTADORA  MAKITA  METAL 14"  M24 01B</t>
  </si>
  <si>
    <t>ENGRAPADORA  MAKITA  NEUMAT 5/8-1½AT6 38A</t>
  </si>
  <si>
    <t>ESMERIL  MAKITA  1/3HP 6"   GB6 02</t>
  </si>
  <si>
    <t>ESMERIL  MAKITA  3/4HP 8"   GB8 01</t>
  </si>
  <si>
    <t>ESMERIL  MAKITA  5" 1200W GA5010</t>
  </si>
  <si>
    <t>ESMERIL  MAKITA  RECTO 750W GS6000</t>
  </si>
  <si>
    <t>ESMERILADORA MAKITA  1800W 9 B/PESGA9 010C</t>
  </si>
  <si>
    <t>ESMERILADORA MAKITA  1900W 7" GA7911</t>
  </si>
  <si>
    <t>ESMERILADORA MAKITA  2200W 7" GA7020</t>
  </si>
  <si>
    <t>ESMERILADORA MAKITA  2200W 9" GA9020</t>
  </si>
  <si>
    <t>ESMERILADORA MAKITA  2600W 9  GA9 040S</t>
  </si>
  <si>
    <t>ESMERILADORA MAKITA  2700W 7"   GA7 081</t>
  </si>
  <si>
    <t>ESMERILADORA MAKITA  7" 2200W   GA7 060</t>
  </si>
  <si>
    <t>ESMERILADORA MAKITA  9 M0921B</t>
  </si>
  <si>
    <t>ESMERILADORA MAKITA  9" 2200W   GA9 060</t>
  </si>
  <si>
    <t>FUMIGADORA MAKITA  18V 5L DUS054</t>
  </si>
  <si>
    <t>HIDROLAVADOR MAKITA  1300W 1450 PSI HW101</t>
  </si>
  <si>
    <t>HIDROLAVADOR MAKITA  18V 350PSI DHW 180Z01</t>
  </si>
  <si>
    <t xml:space="preserve">INFLADOR 12V MP1 00DZ MAKITA  </t>
  </si>
  <si>
    <t>JUEGOS   MAKITA  KIT 18V 6PZ XT610</t>
  </si>
  <si>
    <t>LIJADORA   MAKITA  11/8X21 BANDA 9031</t>
  </si>
  <si>
    <t>LIJADORA   MAKITA  180W ¬ M9200G</t>
  </si>
  <si>
    <t>LIJADORA   MAKITA  180W 1/3H  M92 01B</t>
  </si>
  <si>
    <t>LIJADORA   MAKITA  190W 1/3 HOJA BO3710</t>
  </si>
  <si>
    <t>LIJADORA   MAKITA  200W 1/4 HOJA BO4556</t>
  </si>
  <si>
    <t>LIJADORA   MAKITA  240W 5"  M92 04B</t>
  </si>
  <si>
    <t>LIJADORA   MAKITA  300W VV 5" BO5041</t>
  </si>
  <si>
    <t>LIJADORA   MAKITA  310W VV 6" BO6 030JX</t>
  </si>
  <si>
    <t>LIJADORA   MAKITA  600W 1/2 HOJA 9046</t>
  </si>
  <si>
    <t>LIJADORA   MAKITA  BANDA 3/8X21 9032</t>
  </si>
  <si>
    <t>LIJADORA   MAKITA  BANDA 3X18 VV 9911</t>
  </si>
  <si>
    <t>LIJADORA   MAKITA  BANDA 3X24 992 4DB</t>
  </si>
  <si>
    <t>LIJADORA   MAKITA  BANDA 4X24 940 3</t>
  </si>
  <si>
    <t>LIJADORA   MAKITA  BANDA 4X24 M94 00B</t>
  </si>
  <si>
    <t>LIJADORA   MAKITA  ORBITAL 5" BO5 030</t>
  </si>
  <si>
    <t xml:space="preserve">30M LD030P MAKITA  </t>
  </si>
  <si>
    <t xml:space="preserve">MATRACA 12V ¬WR1 00DWM MAKITA  </t>
  </si>
  <si>
    <t xml:space="preserve">MED/LASER 50MLD0 50P MAKITA  </t>
  </si>
  <si>
    <t xml:space="preserve">MED/LASER 80MLD0 80P MAKITA  </t>
  </si>
  <si>
    <t xml:space="preserve">MEZCLA 6,5 UT1 305 MAKITA  </t>
  </si>
  <si>
    <t xml:space="preserve">MEZCLAD 885W UT2204 MAKITA  </t>
  </si>
  <si>
    <t xml:space="preserve">MEZCLADOR VV M66 00XB MAKITA  </t>
  </si>
  <si>
    <t>MARTILLO   MAKITA  1050W 1V   HR4 002</t>
  </si>
  <si>
    <t>MARTILLO   MAKITA  1100W MAX VV HR4 003C</t>
  </si>
  <si>
    <t>MARTILLO   MAKITA  1510W 11K  HR5 202C</t>
  </si>
  <si>
    <t>MARTILLO   MAKITA  2000W 72 J HM1802</t>
  </si>
  <si>
    <t>MARTILLO   MAKITA  2000W 72J AVT HM1812</t>
  </si>
  <si>
    <t>MARTILLO   MAKITA  36V MAX S/BATHR4 00ZKUN</t>
  </si>
  <si>
    <t>MARTILLO   MAKITA  36V VVR SDS/MDHR 400P2U</t>
  </si>
  <si>
    <t>MARTILLO   MAKITA  40V 28MM   HR0 03GM20</t>
  </si>
  <si>
    <t>MARTILLO   MAKITA  710W SDS P 3MM87 01B</t>
  </si>
  <si>
    <t>MARTILLO   MAKITA  710W SDS-P M87 00B</t>
  </si>
  <si>
    <t>MARTILLO   MAKITA  780W VVR HR2470</t>
  </si>
  <si>
    <t>MARTILLO   MAKITA  800W VV SDS/PHR2 600</t>
  </si>
  <si>
    <t>MARTILLO   MAKITA  850W VV  HR3 200C</t>
  </si>
  <si>
    <t>MARTILLO   MAKITA  DEMOLED 1100WHM0 870C</t>
  </si>
  <si>
    <t>MARTILLO   MAKITA  DEMOLED 1510WHM1 307CB</t>
  </si>
  <si>
    <t>MARTILLO   MAKITA  DEMOLED 1650W HM1801</t>
  </si>
  <si>
    <t>MARTILLO   MAKITA  DEMOLED 1650W HM1810</t>
  </si>
  <si>
    <t>MARTILLO   MAKITA  SDS/P 800W VVHR2 810</t>
  </si>
  <si>
    <t>MINIESMERIL  MAKITA  1100W 4½   GA4 550</t>
  </si>
  <si>
    <t>MINIESMERIL  MAKITA  1400W VV   956 4PCV</t>
  </si>
  <si>
    <t>MINIESMERIL  MAKITA  18V S-B/C  DGA 456Z</t>
  </si>
  <si>
    <t>MINIESMERIL  MAKITA  1900W 4,5  GA4 592X02</t>
  </si>
  <si>
    <t>MINIESMERIL  MAKITA  1900W PALETA GA4 595X02</t>
  </si>
  <si>
    <t>MINIESMERIL  MAKITA  1900W VV   GA4 590X01</t>
  </si>
  <si>
    <t>MINIESMERIL  MAKITA  4« 850W  M95 10B</t>
  </si>
  <si>
    <t>MINIESMERIL  MAKITA  5" 1200W   M90 02B</t>
  </si>
  <si>
    <t>MINIESMERIL  MAKITA  710W 4,5   955 4HNG</t>
  </si>
  <si>
    <t>MINIESMERIL  MAKITA  720W 4,5 GA4534</t>
  </si>
  <si>
    <t>MINIESMERIL  MAKITA  840W 4,5   955 7HNG</t>
  </si>
  <si>
    <t>MINIESMERIL  MAKITA  840W 4«  955 7HPG</t>
  </si>
  <si>
    <t>MOTOSIERRA MAKITA  18X2   DUC 405Z</t>
  </si>
  <si>
    <t>MOTOTOOL   MAKITA  MULTI 320W VVTM3 000C</t>
  </si>
  <si>
    <t>NIVEL LASER  MAKITA  LASER LIN/PUNSK1 03PZ</t>
  </si>
  <si>
    <t>PISTOLA  MAKITA  2000W TEM/VARHG6 531CK</t>
  </si>
  <si>
    <t>PISTOLA  MAKITA  CALOR 1300W VHG5 030</t>
  </si>
  <si>
    <t>PISTOLA  MAKITA  TERM 1500W HG6 031VK</t>
  </si>
  <si>
    <t>PULIDORA   MAKITA  1200W VV 7" 9227C</t>
  </si>
  <si>
    <t>PULIDORA   MAKITA  1600W 7"   SA7 000C</t>
  </si>
  <si>
    <t>PULIDORA   MAKITA  DOBLE ACCION PO5000</t>
  </si>
  <si>
    <t>PULIDORA   MAKITA  DPO500RTE 18 VOL</t>
  </si>
  <si>
    <t>PULIDORA   MAKITA  HUMEDO VV 5" PW5 001C</t>
  </si>
  <si>
    <t>RECTIFICADOR MAKITA  240W 1/4 GDO603</t>
  </si>
  <si>
    <t>RECTIFICADOR MAKITA  400W ¬ GDO600</t>
  </si>
  <si>
    <t>RECTIFICADOR MAKITA  480W   M91 00B</t>
  </si>
  <si>
    <t>RECTIFICADOR MAKITA  750W VV ¬  GDO 800C</t>
  </si>
  <si>
    <t>RECTIFICADOR MAKITA  750W VV ¬  GDO 810C</t>
  </si>
  <si>
    <t>ROTOMARTILLO MAKITA  1010W « VVR HP2070</t>
  </si>
  <si>
    <t>ROTOMARTILLO MAKITA  12V 3/8  HP3 33DWYE</t>
  </si>
  <si>
    <t>ROTOMARTILLO MAKITA  12V 3/8  HP3 33DY</t>
  </si>
  <si>
    <t>ROTOMARTILLO MAKITA  18V 1/2  DHP 487YX2</t>
  </si>
  <si>
    <t>ROTOMARTILLO MAKITA  18V 1/2 488X HP4 88D010</t>
  </si>
  <si>
    <t>ROTOMARTILLO MAKITA  18V 5AH  DHP 489STX</t>
  </si>
  <si>
    <t>ROTOMARTILLO MAKITA  18V P482 D152DLX 213</t>
  </si>
  <si>
    <t>ROTOMARTILLO MAKITA  18V ROTO/ATORDHP 483SYE</t>
  </si>
  <si>
    <t>ROTOMARTILLO MAKITA  18V VVR 5AH  DHP 481RTJ</t>
  </si>
  <si>
    <t>ROTOMARTILLO MAKITA  3/8 VVR 400W HP1230</t>
  </si>
  <si>
    <t>ROTOMARTILLO MAKITA  470W VVR HR1840</t>
  </si>
  <si>
    <t>ROTOMARTILLO MAKITA  500W «" VVR  M08 01B</t>
  </si>
  <si>
    <t>ROTOMARTILLO MAKITA  710W VVR ½ M81 00B</t>
  </si>
  <si>
    <t>ROTOMARTILLO MAKITA  720W VVR « HP2 050H</t>
  </si>
  <si>
    <t>ROTOMARTILLO MAKITA  900W VVR 5/8 HP1 630</t>
  </si>
  <si>
    <t>ROTOMARTILLO MAKITA  ATORN 18V VV DHP 482SYE</t>
  </si>
  <si>
    <t>ROTOMARTILLO MAKITA  ATORN 18V VVRDHP 453X10</t>
  </si>
  <si>
    <t>ROTOMARTILLO MAKITA  COMBO 18V  DK1 892</t>
  </si>
  <si>
    <t>ROTOMARTILLO MAKITA  DH483/DT155  DLX 2221YX</t>
  </si>
  <si>
    <t>ROTOMARTILLO MAKITA  HP1630/GA4534 COMBO</t>
  </si>
  <si>
    <t>ROUTER   MAKITA  1¬ HP C/GUIA RPO900</t>
  </si>
  <si>
    <t>ROUTER   MAKITA  2¬ HP VV¬-« RF1101</t>
  </si>
  <si>
    <t>ROUTER   MAKITA  2HP ¬-« RF1100</t>
  </si>
  <si>
    <t>ROUTER   MAKITA  3/4HP ¬  M37 00B</t>
  </si>
  <si>
    <t>ROUTER   MAKITA  3¬ HP ¬-« RP1800</t>
  </si>
  <si>
    <t>ROUTER   MAKITA  3HP ¬-«"   M36 00B</t>
  </si>
  <si>
    <t>ROUTER   MAKITA  530W ¬ 3709</t>
  </si>
  <si>
    <t>ROUTER   MAKITA  550W ¬ 3706</t>
  </si>
  <si>
    <t>ROUTER   MAKITA  710W VV  RT0 700CX2</t>
  </si>
  <si>
    <t>ROUTER   MAKITA  760W 1HP ¬ 3606</t>
  </si>
  <si>
    <t>ROUTER   MAKITA  900W 1/4 PROFM36 01B</t>
  </si>
  <si>
    <t>ROUTER   MAKITA  930W 1/2 IND 360 1B</t>
  </si>
  <si>
    <t>S/CIRCULAR MAKITA  1050W 7¬   M58 01B</t>
  </si>
  <si>
    <t>S/CIRCULAR MAKITA  12 V   HS3 01DWYE</t>
  </si>
  <si>
    <t>S/CIRCULAR MAKITA  1200W 7¬ HS7600</t>
  </si>
  <si>
    <t>S/CIRCULAR MAKITA  1800W 7¬ 5377MG</t>
  </si>
  <si>
    <t>S/CIRCULAR MAKITA  1800W 7¬ 5477NB</t>
  </si>
  <si>
    <t>S/CIRCULAR MAKITA  1800W 7¬" 5007MG</t>
  </si>
  <si>
    <t>S/CIRCULAR MAKITA  1800W 7¬" 5007NK</t>
  </si>
  <si>
    <t>S/CIRCULAR MAKITA  18V 6 1/2" SS6 11STX2</t>
  </si>
  <si>
    <t>S/CIRCULAR MAKITA  2000W 9¬ N5900B</t>
  </si>
  <si>
    <t>S/CIRCULAR MAKITA  8 1/4 1800W 5008MG</t>
  </si>
  <si>
    <t>S/INGLETE  MAKITA  12" 1650W COMLS1 221</t>
  </si>
  <si>
    <t>S/INGLETE  MAKITA  1600W 10 INGLLS1 040F</t>
  </si>
  <si>
    <t>S/INGLETE  MAKITA  ANGULAR 1510WLS1 017L</t>
  </si>
  <si>
    <t>S/INGLETE  MAKITA  CORTAD/INGLETLS1 030N</t>
  </si>
  <si>
    <t>S/INGLETE  MAKITA  INGLETE 10"  MLS 100</t>
  </si>
  <si>
    <t>SIERRA   MAKITA  1300W 6« S/GU SP6000</t>
  </si>
  <si>
    <t>SIERRA   MAKITA  2X18V 6 S/BATDSP 600Z</t>
  </si>
  <si>
    <t>SIERRA   MAKITA  710W VV 4« 2107FK</t>
  </si>
  <si>
    <t>SIERRA   MAKITA  MESA 10 1650W270 3</t>
  </si>
  <si>
    <t>SIERRA   MAKITA  SABLE VV   JR3 051TK</t>
  </si>
  <si>
    <t>SIERRA   MAKITA  SABLE VV   JR3 070CT</t>
  </si>
  <si>
    <t>SOPLADORA  MAKITA  500W VV  M40 00B</t>
  </si>
  <si>
    <t>SOPLADORA  MAKITA  600W VV UB1103</t>
  </si>
  <si>
    <t>SOPLADORA  MAKITA  VV 18X2  DUB 362Z</t>
  </si>
  <si>
    <t>TALADRO  MAKITA  12V 3/8  DA3 33DWYE</t>
  </si>
  <si>
    <t>TALADRO  MAKITA  230W ¬ DP2010</t>
  </si>
  <si>
    <t>TALADRO  MAKITA  230W 1/4   M65 01B</t>
  </si>
  <si>
    <t>TALADRO  MAKITA  3/8 VVR M0600G</t>
  </si>
  <si>
    <t>TALADRO  MAKITA  450W VVR 3/8 6413</t>
  </si>
  <si>
    <t>TALADRO  MAKITA  480W 5/8 6016</t>
  </si>
  <si>
    <t>TALADRO  MAKITA  530W VVR 3/8 6407</t>
  </si>
  <si>
    <t>TALADRO  MAKITA  740W VVR « 6302H</t>
  </si>
  <si>
    <t>TALADRO  MAKITA  740W VVR « 6303H</t>
  </si>
  <si>
    <t>TALADRO  MAKITA  750W VVR 1/2 DS4012</t>
  </si>
  <si>
    <t>TALADRO  MAKITA  780W BANCO TB1 31</t>
  </si>
  <si>
    <t>TALADRO  MAKITA  ANGULAR 3/8  DA3 010F</t>
  </si>
  <si>
    <t>TALADRO  MAKITA  ESPADA 750W M6201G</t>
  </si>
  <si>
    <t>TALADRO  MAKITA  MAGNETICO  HB3 50</t>
  </si>
  <si>
    <t>TALADRO  MAKITA  MAGNETICO 2V HB500</t>
  </si>
  <si>
    <t>ATORNILLADOR MILWAUKEE 1/2 M18  360 122CT</t>
  </si>
  <si>
    <t>CALADORA   MILWAUKEE 12V INALAMB  254 520</t>
  </si>
  <si>
    <t>CALADORA   MILWAUKEE 780W VV 626821</t>
  </si>
  <si>
    <t>CALADORA   MILWAUKEE M18 FUEL VV  273 720</t>
  </si>
  <si>
    <t>CORTADORA  MILWAUKEE METAL 14"  617 720</t>
  </si>
  <si>
    <t>ESMERIL  MILWAUKEE M12 FUEL   248 522</t>
  </si>
  <si>
    <t>JUEGOS   MILWAUKEE CT M18 LLA/RO269 722CT</t>
  </si>
  <si>
    <t>JUEGOS   MILWAUKEE M12 259822 349 722</t>
  </si>
  <si>
    <t>JUEGOS   MILWAUKEE M12 LLAVE/ROT249 722</t>
  </si>
  <si>
    <t>JUEGOS   MILWAUKEE M18 290022CT 361 022CT</t>
  </si>
  <si>
    <t>JUEGOS   MILWAUKEE M18 ROTO-ATOR369 722</t>
  </si>
  <si>
    <t>JUEGOS   MILWAUKEE M18 ROTO-LLAV299 722</t>
  </si>
  <si>
    <t>LIJADORA   MILWAUKEE 1560W 9" 6078</t>
  </si>
  <si>
    <t>LIJADORA   MILWAUKEE 360W   603 321</t>
  </si>
  <si>
    <t>LIJADORA   MILWAUKEE 360W 5VV 603421</t>
  </si>
  <si>
    <t>LIJADORA   MILWAUKEE ORBITAL  264 820</t>
  </si>
  <si>
    <t>MARTILLO   MILWAUKEE 960W SDS/P 4J526 821</t>
  </si>
  <si>
    <t>MARTILLO   MILWAUKEE CINC 840W VVR526 221</t>
  </si>
  <si>
    <t>MARTILLO   MILWAUKEE DEMOLE 6K VV 544621</t>
  </si>
  <si>
    <t>MINIESMERIL  MILWAUKEE 1300W 5"   612 430</t>
  </si>
  <si>
    <t>MINIESMERIL  MILWAUKEE 1320W 4«" 614130</t>
  </si>
  <si>
    <t>MINIESMERIL  MILWAUKEE 1500W 5" 611730</t>
  </si>
  <si>
    <t>MINIESMERIL  MILWAUKEE 1500W VV 5"  611 733D</t>
  </si>
  <si>
    <t>MINIESMERIL  MILWAUKEE 840W   613 033</t>
  </si>
  <si>
    <t>MINIESMERIL  MILWAUKEE 900W 4,5   614 131</t>
  </si>
  <si>
    <t>MINIESMERIL  MILWAUKEE M18 FUEL   288 020</t>
  </si>
  <si>
    <t>MINIESMERIL  MILWAUKEE M18V   288 022</t>
  </si>
  <si>
    <t>MOTOTOOL   MILWAUKEE 12V VV 1/8 246 020</t>
  </si>
  <si>
    <t>MOTOTOOL   MILWAUKEE M12 FUEL   252 621XC</t>
  </si>
  <si>
    <t>MOTOTOOL   MILWAUKEE MULTITOOL 12V252 620</t>
  </si>
  <si>
    <t>PISTOLA  MILWAUKEE CALO 1390W 2T897 5-6</t>
  </si>
  <si>
    <t>PISTOLA  MILWAUKEE CALO 1500W VV897 720</t>
  </si>
  <si>
    <t>PISTOLA  MILWAUKEE CALOR M18  268 820</t>
  </si>
  <si>
    <t>PULIDORA   MILWAUKEE 18V 5" VV  268 422HD</t>
  </si>
  <si>
    <t>PULIDORA   MILWAUKEE M12 VV C/2B 243822</t>
  </si>
  <si>
    <t>RECTIFICADOR MILWAUKEE M18 1/4  293 920</t>
  </si>
  <si>
    <t>REMACHADORA  MILWAUKEE M12 3/32-3/16255 022</t>
  </si>
  <si>
    <t>ROTOMARTILLO MILWAUKEE CINCELA M18  291 222</t>
  </si>
  <si>
    <t>ROTOMARTILLO MILWAUKEE CINCELA M18  291 522</t>
  </si>
  <si>
    <t>ROTOMARTILLO MILWAUKEE M18 CINCE  261 320</t>
  </si>
  <si>
    <t>ROTOMARTILLO MILWAUKEE M18 VVR  260 722CT</t>
  </si>
  <si>
    <t>ROUTER   MILWAUKEE 1 3/4HP ¬-« 561520</t>
  </si>
  <si>
    <t>ROUTER   MILWAUKEE 2HP ¼-½ VV 561 620</t>
  </si>
  <si>
    <t>ROUTER   MILWAUKEE 3« HP « VV 562520</t>
  </si>
  <si>
    <t>ROUTER   MILWAUKEE M18 1/2"   283 820</t>
  </si>
  <si>
    <t>ROUTER   MILWAUKEE M-18 FUEL 272320</t>
  </si>
  <si>
    <t>S/CIRCULAR MILWAUKEE M18 7 1/4  283 421</t>
  </si>
  <si>
    <t>S/INGLETE  MILWAUKEE INGLET 12" 695 520</t>
  </si>
  <si>
    <t>S/INGLETE  MILWAUKEE M18 10"  273 420</t>
  </si>
  <si>
    <t>SIERRA   MILWAUKEE CINTA M12  252 921</t>
  </si>
  <si>
    <t>SIERRA   MILWAUKEE CINTA M18  292 922</t>
  </si>
  <si>
    <t>SIERRA   MILWAUKEE M12 3"   252 221XC</t>
  </si>
  <si>
    <t>SIERRA   MILWAUKEE SABL 12V VV  252 021XC</t>
  </si>
  <si>
    <t>SIERRA   MILWAUKEE SABLE 1440W 650931</t>
  </si>
  <si>
    <t>SIERRA   MILWAUKEE SABLE 15 AMP 653821</t>
  </si>
  <si>
    <t>SIERRA   MILWAUKEE SABLE M18  282 122</t>
  </si>
  <si>
    <t>TALADRO  MILWAUKEE 12V 3/8 VVR 240722</t>
  </si>
  <si>
    <t>TALADRO  MILWAUKEE 1-5/8 MAGNETI427 221</t>
  </si>
  <si>
    <t>TALADRO  MILWAUKEE 18V ½ VVR  260 622CT</t>
  </si>
  <si>
    <t>TALADRO  MILWAUKEE 420W 3/8 VVR 370-20</t>
  </si>
  <si>
    <t>TALADRO  MILWAUKEE 840W ¬ VVR 100-20</t>
  </si>
  <si>
    <t>TALADRO  MILWAUKEE 840W 3/8 VVR 200-20</t>
  </si>
  <si>
    <t>TALADRO  MILWAUKEE 840W ESPADA 1660-6</t>
  </si>
  <si>
    <t>TALADRO  MILWAUKEE 900W ANGUL VV167 5-6</t>
  </si>
  <si>
    <t>TALADRO  MILWAUKEE 960W « VVR 030220</t>
  </si>
  <si>
    <t>TALADRO  MILWAUKEE 960W 3/8 VVR 024020</t>
  </si>
  <si>
    <t>TALADRO  MILWAUKEE ANGU 12V 3/8 241 520</t>
  </si>
  <si>
    <t>TALADRO  MILWAUKEE M12 FUEL 250322</t>
  </si>
  <si>
    <t>TALADRO  MILWAUKEE MAG 1380W 3/4421 0-1</t>
  </si>
  <si>
    <t>TALADRO  MILWAUKEE MAG 1380W VVR420 8-1</t>
  </si>
  <si>
    <t>TALADRO  MILWAUKEE MAG M18 1 1/2278 822HD</t>
  </si>
  <si>
    <t xml:space="preserve">ESCANER  NT5 30 TRIUMPH   </t>
  </si>
  <si>
    <t xml:space="preserve">ESCANER MULTII50 TS TRIUMPH   </t>
  </si>
  <si>
    <t xml:space="preserve">ESCANER NT301 TRIUMPH   </t>
  </si>
  <si>
    <t xml:space="preserve">ESCANER PRO 680 TRIUMPH   </t>
  </si>
  <si>
    <t xml:space="preserve">SCAN/IMPRESORBT7 80 TRIUMPH   </t>
  </si>
  <si>
    <t>MACHUELO   TRIUMPH   3/16   TC1 337</t>
  </si>
  <si>
    <t>MACHUELO   TRIUMPH   5/32   TC1 336</t>
  </si>
  <si>
    <t xml:space="preserve">REPUESTO   PUN ZON TRIUMPH   </t>
  </si>
  <si>
    <t xml:space="preserve">ROEDORA NIBLER TRIUMPH   </t>
  </si>
  <si>
    <t xml:space="preserve">SOPORTE NI-07 TRIUMPH   </t>
  </si>
  <si>
    <t>TAQUETE  TRIUMPH   EXPAN 1/2X3,510 PZ</t>
  </si>
  <si>
    <t>TAQUETE  TRIUMPH   EXPAN 3/8X3  10 PZ</t>
  </si>
  <si>
    <t>TAQUETE  TRIUMPH   EXPAN/1/4X2,510 PZ</t>
  </si>
  <si>
    <t xml:space="preserve">CA36 CAVAHOYO119 73 TRUPER  </t>
  </si>
  <si>
    <t xml:space="preserve">CARRET 22647 CAP 4NB TRUPER  </t>
  </si>
  <si>
    <t xml:space="preserve">CARRETIL CAT5117 52 TRUPER  </t>
  </si>
  <si>
    <t xml:space="preserve">MGZP-5 102792MAN GO TRUPER  </t>
  </si>
  <si>
    <t>MARTILLO   TRUPER  MA-7   167 50</t>
  </si>
  <si>
    <t>MARTILLO   TRUPER  MAR-16   167 54</t>
  </si>
  <si>
    <t>PALA   TRUPER  PCAY-P   171 64</t>
  </si>
  <si>
    <t>TALACHO  TRUPER  PICO 18622 TP- 5</t>
  </si>
  <si>
    <t>TALACHO  TRUPER  TH-5   186 23</t>
  </si>
  <si>
    <t>CALADORA   BOSCH   15B40 GST 680</t>
  </si>
  <si>
    <t>H E BOSCH   18V 19J22  GSB 18+GDX</t>
  </si>
  <si>
    <t>LLAVE BOSCH   IMPA 12V 19F0GDR 120LI</t>
  </si>
  <si>
    <t>NIVEL BOSCH   NIVELOX GLL3X 1063X</t>
  </si>
  <si>
    <t>T BOSCH   TERM 10834G  GIS 500</t>
  </si>
  <si>
    <t>CALADORA   DEWALT  20V DCS 331M1</t>
  </si>
  <si>
    <t>CEPILLO  DEWALT  3-1/4 D26 676</t>
  </si>
  <si>
    <t>CLAVADORA  DEWALT  2"  DWF P12231</t>
  </si>
  <si>
    <t>E DEWALT  ENSAMBLA 700W DW682K</t>
  </si>
  <si>
    <t>H E DEWALT  20V 5A ROT/ATDCK 299P2</t>
  </si>
  <si>
    <t>H E DEWALT  20V MINI/ROTODCK 248P1</t>
  </si>
  <si>
    <t>H E DEWALT  20V ROTO/ATORDCK 222D2</t>
  </si>
  <si>
    <t>H E DEWALT  20V ROTO/ATORDCK 2490D2</t>
  </si>
  <si>
    <t>H E DEWALT  20V SDS/ATOR DCK 260D1P</t>
  </si>
  <si>
    <t>H E DEWALT  796/887 P/STADCK 287E2</t>
  </si>
  <si>
    <t>H E DEWALT  COMBO 12V ROT/AT DCK202</t>
  </si>
  <si>
    <t>H E DEWALT  D778/D887  DCK 223</t>
  </si>
  <si>
    <t>LAMPARA  DEWALT  20V DCL 050</t>
  </si>
  <si>
    <t>LLAVE DEWALT  20V IMPAC 1/2DCF 922B</t>
  </si>
  <si>
    <t>LLAVE DEWALT  IMPAC 20V «  DCF 889M2</t>
  </si>
  <si>
    <t>MARTILLO   DEWALT  1800W D25 773K</t>
  </si>
  <si>
    <t>MINIESMERIL  DEWALT  1500W DWE 4314</t>
  </si>
  <si>
    <t>ROTOMARTILLO DEWALT  20V DCD 985M2</t>
  </si>
  <si>
    <t>ROUTER   DEWALT  2HP DW6 21</t>
  </si>
  <si>
    <t>ASPIRADORA MAKITA  18V DCL 180RFB</t>
  </si>
  <si>
    <t>ASPIRADORA MAKITA  18V VC7 50LSX3</t>
  </si>
  <si>
    <t>ASPIRADORA MAKITA  40V L00 3GA103</t>
  </si>
  <si>
    <t>ATORNILLADOR MAKITA  12V DF3 32DWYE</t>
  </si>
  <si>
    <t>ATORNILLADOR MAKITA  18V DDF 483RTE</t>
  </si>
  <si>
    <t>ATORNILLADOR MAKITA  18V DFS 251RFE</t>
  </si>
  <si>
    <t>ATORNILLADOR MAKITA  40V DF0 01GM20</t>
  </si>
  <si>
    <t>BOMBA MAKITA  1100W INOX 9M PF1100</t>
  </si>
  <si>
    <t>BOMBA MAKITA  300W 7M SUMER PF0300</t>
  </si>
  <si>
    <t>BOMBA MAKITA  400W INO 6,5MPF0 403</t>
  </si>
  <si>
    <t>BOMBA MAKITA  800W 9M SUMER PF0800</t>
  </si>
  <si>
    <t>BOMBA MAKITA  DE VACIO 18V DVP 180Z</t>
  </si>
  <si>
    <t>CALADORA   MAKITA  18V DJV 182Z</t>
  </si>
  <si>
    <t>CALADORA   MAKITA  VV  JV1 03DWYJ</t>
  </si>
  <si>
    <t>E MAKITA  ENGALLETADORAPJ7 000</t>
  </si>
  <si>
    <t>ESMERILADORA MAKITA  18V DGA 458RFE</t>
  </si>
  <si>
    <t>ESMERILADORA MAKITA  40V 4 GA0 04GM20</t>
  </si>
  <si>
    <t>H E MAKITA  12V MULTICORTCP1 00DWY</t>
  </si>
  <si>
    <t>H E MAKITA  18V CX2 00RB</t>
  </si>
  <si>
    <t>H E MAKITA  18V DLX 2336SY</t>
  </si>
  <si>
    <t>H E MAKITA  18V 2PZ DLX24DGA HP01</t>
  </si>
  <si>
    <t>H E MAKITA  18V COMBO 5AHDLX 2523ST</t>
  </si>
  <si>
    <t>H E MAKITA  18V DEGOLLADODWT 310PT2</t>
  </si>
  <si>
    <t>H E MAKITA  AMARRADORA DTR 180Z</t>
  </si>
  <si>
    <t>H E MAKITA  COMBO 18V  DLX 2414X7</t>
  </si>
  <si>
    <t>H E MAKITA  COMBO 18V 5PZDLX 3165ST</t>
  </si>
  <si>
    <t>H E MAKITA  COMBO 901/801 TK0003</t>
  </si>
  <si>
    <t xml:space="preserve">H E MAKITA  HR2475/9557N JGO </t>
  </si>
  <si>
    <t>LIJADORA   MAKITA  5"  DBO 180Z</t>
  </si>
  <si>
    <t>LLAVE MAKITA  18V IMPAC  TW1 002RTJ</t>
  </si>
  <si>
    <t>LLAVE MAKITA  40V IMPAC 3/4TW0 01GM20</t>
  </si>
  <si>
    <t>LLAVE MAKITA  IMPAC 1 1300WTW1 000</t>
  </si>
  <si>
    <t>LLAVE MAKITA  IMPAC 1/2 VVRDTW 285RMJ</t>
  </si>
  <si>
    <t>LLAVE MAKITA  IMPAC 12V VVR TW060Z</t>
  </si>
  <si>
    <t>LLAVE MAKITA  IMPAC 660W ½ 690 5 H</t>
  </si>
  <si>
    <t>RECTIFICADOR MAKITA  18V DGD 800RFE</t>
  </si>
  <si>
    <t>ROTOMARTILLO MAKITA  18V DHR 171Z</t>
  </si>
  <si>
    <t>ROTOMARTILLO MAKITA  40V HP0 01GM20</t>
  </si>
  <si>
    <t>S/CIRCULAR MAKITA  7 1/4 DHS 711Z</t>
  </si>
  <si>
    <t>SIERRA   MAKITA  40V JR0 01GM20</t>
  </si>
  <si>
    <t>SOPLADORA  MAKITA  18V DUB 185</t>
  </si>
  <si>
    <t>CAUTIN   MILWAUKEE M12 248 821</t>
  </si>
  <si>
    <t>LLAVE MILWAUKEE 12V IMPAC « 255522</t>
  </si>
  <si>
    <t>LLAVE MILWAUKEE 18V IMPAC 1/2296 722</t>
  </si>
  <si>
    <t>LLAVE MILWAUKEE IMPAC 18V 3/4286 422R</t>
  </si>
  <si>
    <t>LLAVE MILWAUKEE IMPAC 840W « 907020</t>
  </si>
  <si>
    <t>LLAVE MILWAUKEE IMPAC 840W ¾ 907 520</t>
  </si>
  <si>
    <t>LLAVE MILWAUKEE IMPAC M18  295 322</t>
  </si>
  <si>
    <t>LLAVE MILWAUKEE IMPAC M18 3/8285 422R</t>
  </si>
  <si>
    <t>LLAVE MILWAUKEE M18 285 522R</t>
  </si>
  <si>
    <t>LLAVE MILWAUKEE M18 FUEL   296 222R</t>
  </si>
  <si>
    <t>ROTOMARTILLO MILWAUKEE M12 250 422</t>
  </si>
  <si>
    <t>ROTOMARTILLO MILWAUKEE M18 271 822</t>
  </si>
  <si>
    <t>ROTOMARTILLO MILWAUKEE M18 290 422</t>
  </si>
  <si>
    <t>BROCA TRIUMPH  1/16</t>
  </si>
  <si>
    <t>BROCA TRIUMPH  1/2</t>
  </si>
  <si>
    <t>BROCA TRIUMPH  1/4</t>
  </si>
  <si>
    <t>BROCA TRIUMPH  1/8</t>
  </si>
  <si>
    <t>BROCA TRIUMPH  11/32</t>
  </si>
  <si>
    <t>BROCA TRIUMPH  11/64</t>
  </si>
  <si>
    <t>BROCA TRIUMPH  13/32</t>
  </si>
  <si>
    <t>BROCA TRIUMPH  13/64</t>
  </si>
  <si>
    <t>BROCA TRIUMPH  15/32</t>
  </si>
  <si>
    <t>BROCA TRIUMPH  15/64</t>
  </si>
  <si>
    <t>BROCA TRIUMPH  17/64</t>
  </si>
  <si>
    <t>BROCA TRIUMPH  19/64</t>
  </si>
  <si>
    <t>BROCA TRIUMPH  21/64</t>
  </si>
  <si>
    <t>BROCA TRIUMPH  23/64</t>
  </si>
  <si>
    <t>BROCA TRIUMPH  25/64</t>
  </si>
  <si>
    <t>BROCA TRIUMPH  27/64</t>
  </si>
  <si>
    <t>BROCA TRIUMPH  29/64</t>
  </si>
  <si>
    <t>BROCA TRIUMPH  3/16</t>
  </si>
  <si>
    <t>BROCA TRIUMPH  3/32</t>
  </si>
  <si>
    <t>BROCA TRIUMPH  3/64</t>
  </si>
  <si>
    <t>BROCA TRIUMPH  3/8</t>
  </si>
  <si>
    <t>BROCA TRIUMPH  31/64</t>
  </si>
  <si>
    <t>BROCA TRIUMPH  5/16</t>
  </si>
  <si>
    <t>BROCA TRIUMPH  5/32</t>
  </si>
  <si>
    <t>BROCA TRIUMPH  5/64</t>
  </si>
  <si>
    <t>BROCA TRIUMPH  7/16</t>
  </si>
  <si>
    <t>BROCA TRIUMPH  7/32</t>
  </si>
  <si>
    <t>BROCA TRIUMPH  7/64</t>
  </si>
  <si>
    <t>BROCA TRIUMPH  9/32</t>
  </si>
  <si>
    <t>BROCA TRIUMPH  9/64</t>
  </si>
  <si>
    <t>BROCA TRIUMPH   CONCRETO 1/2X12</t>
  </si>
  <si>
    <t>BROCA TRIUMPH   CONCRETO 1/2X6</t>
  </si>
  <si>
    <t>BROCA TRIUMPH   CONCRETO 1/4X12</t>
  </si>
  <si>
    <t>BROCA TRIUMPH   CONCRETO 1/4X4</t>
  </si>
  <si>
    <t>BROCA TRIUMPH   CONCRETO 1/4X6</t>
  </si>
  <si>
    <t>BROCA TRIUMPH   CONCRETO 3/16</t>
  </si>
  <si>
    <t>BROCA TRIUMPH   CONCRETO 3/8X12</t>
  </si>
  <si>
    <t>BROCA TRIUMPH   CONCRETO 3/8X4</t>
  </si>
  <si>
    <t>BROCA TRIUMPH   CONCRETO 3/8X6</t>
  </si>
  <si>
    <t>BROCA TRIUMPH   CONCRETO 5/16X1</t>
  </si>
  <si>
    <t>BROCA TRIUMPH   CONCRETO 5/16X4</t>
  </si>
  <si>
    <t>BROCA TRIUMPH   CONCRETO 5/16X6</t>
  </si>
  <si>
    <t>BROCA TRIUMPH   JGO A/V  29 PZ</t>
  </si>
  <si>
    <t>BROCA TRIUMPH   JGO CONCRETO 4</t>
  </si>
  <si>
    <t>BROCA TRIUMPH   VIDRIO 1/4</t>
  </si>
  <si>
    <t>BROCA TRIUMPH   VIDRIO 3/16</t>
  </si>
  <si>
    <t>BROCA TRIUMPH   VIDRIO 3/8</t>
  </si>
  <si>
    <t>BROCA TRIUMPH   VIDRIO 5/16</t>
  </si>
  <si>
    <t>LLAVE TRIUMPH   IMP 3/4 RIM I1100</t>
  </si>
  <si>
    <t>LLAVE TRIUMPH   IMPAC « RIM I11</t>
  </si>
  <si>
    <t>MACHUELO   TRIUMPH   1/2 TC1 346</t>
  </si>
  <si>
    <t>MACHUELO   TRIUMPH   1/4 TC1 338</t>
  </si>
  <si>
    <t>MACHUELO   TRIUMPH   1/8 TC1 335</t>
  </si>
  <si>
    <t>MACHUELO   TRIUMPH   3/8 TC1 342</t>
  </si>
  <si>
    <t>BARRA TRUPER  BARRETA 10762BAP 175</t>
  </si>
  <si>
    <t>MARRO TRUPER  NEVADA 22203 MD6 MP</t>
  </si>
  <si>
    <t>MARRO TRUPER  NEVADA 22205 MD- 8MP</t>
  </si>
  <si>
    <t>MARRO TRUPER  NEVADA 22206 MD1 0MP</t>
  </si>
  <si>
    <t>MARRO TRUPER  NEVADA 22215 DHT -2P</t>
  </si>
  <si>
    <t>MARRO TRUPER  NEVADA 22216 DHT -3P</t>
  </si>
  <si>
    <t>MARRO TRUPER  NEVADA 22217 DHT -4P</t>
  </si>
  <si>
    <t>MARRO TRUPER  OCTAG 16506  MD- 2M</t>
  </si>
  <si>
    <t>MARRO TRUPER  OCTAG 16507  MD- 3M</t>
  </si>
  <si>
    <t>MARRO TRUPER  OCTAG 16508  MD- 4M</t>
  </si>
  <si>
    <t>MARRO TRUPER  OCTAG 16511  MD- 8M</t>
  </si>
  <si>
    <t>MARRO TRUPER  OCTAG 16512  MD- 10M</t>
  </si>
  <si>
    <t>MARRO TRUPER  OCTAG 16513  MD- 12M</t>
  </si>
  <si>
    <t>MARTILLO   TRUPER  MA-16 167 52</t>
  </si>
  <si>
    <t>PALA   TRUPER  PCY-P 171 61</t>
  </si>
  <si>
    <t>PALA   TRUPER  PES-P 171 62</t>
  </si>
  <si>
    <t>PALA   TRUPER  PRY-P 171 60</t>
  </si>
  <si>
    <t>ZAPAPICO   TRUPER  ZP-5M 186 46</t>
  </si>
  <si>
    <t>ECO - TO2025</t>
  </si>
  <si>
    <t>TACON PARA FIJO</t>
  </si>
  <si>
    <t>ECO - TA2025</t>
  </si>
  <si>
    <t>TAPA EMBELLECEDORA JUEGO 2025</t>
  </si>
  <si>
    <t>BISAGRA PREMIUM HEAVY-DUTY 718.1 M/C.  RED. CROMO  BRILLANTE</t>
  </si>
  <si>
    <t>BISAGRA PREMIUM HEAVY-DUTY 718.1 M/C. RED. NÍQUEL SATINADO</t>
  </si>
  <si>
    <t>BISAGRA PREMIUM HEAVY-DUTY 718.1 M/C. RED. NEGRO MATE</t>
  </si>
  <si>
    <t>BISAGRA PREMIUM HEAVY-DUTY 718.1S M/C MONTAJE SIMPLE CROMO  BRILLANTE</t>
  </si>
  <si>
    <t>BISAGRA PREMIUM HEAVY-DUTY 718.1S M/C MONTAJE SIMPLE NÍQUEL  SATINADO</t>
  </si>
  <si>
    <t>BISAGRA PREMIUM HEAVY-DUTY 718.1S M/C MONTAJE SIMPLE NEGRO MATE</t>
  </si>
  <si>
    <t>BISAGRA PREMIUM HEAVY-DUTY 718.3 C-C RED. 180º  CROMO  BRILLANTE</t>
  </si>
  <si>
    <t>BISAGRA PREMIUM HEAVY-DUTY 718.3 C-C RED. 180° NÍQUEL SATINADO</t>
  </si>
  <si>
    <t>BISAGRA PREMIUM HEAVY-DUTY 718.3 C-C RED 180° NEGRO MATE</t>
  </si>
  <si>
    <t>BISAGRA PREMIUM HEAVY-DUTY 718.4 C-C 90° RED, CROMO  BRILLANTE</t>
  </si>
  <si>
    <t>BISAGRA PREMIUM HEAVY-DUTY 718.4 C-C 90° RED, NÍQUEL SATINADO</t>
  </si>
  <si>
    <t>BISAGRA PREMIUM HEAVY-DUTY 718.5 C-C 135° RED, CROMO BRILLANTE</t>
  </si>
  <si>
    <t>BISAGRA PREMIUM HEAVY-DUTY 718.5 C-C 135° RED, NÍQUEL SATINADO</t>
  </si>
  <si>
    <t>BISAGRA PREMIUM HEAVY-DUTY DOBLE EN T 718.1S M/C P/MONT. SIMPLE, CROMO BRILLANTE</t>
  </si>
  <si>
    <t>BISAGRA PREMIUM HEAVY-DUTY DOBLE EN T 718.1S M/C P/MONT. SIMPLE, NIQUEL SATINADO</t>
  </si>
  <si>
    <t>BISAGRA MURO-CRISTAL INOVA, CROMO BRILLANTE</t>
  </si>
  <si>
    <t>BISAGRA MURO CRISTAL INOVA,NIQUEL SATINADO</t>
  </si>
  <si>
    <t>BISAGRA MURO CRISTAL INOVA, NEGRO MATE</t>
  </si>
  <si>
    <t>BIS. INOVA M-C P/MONTAJE SIMPLE, CROMO BRILLANTE</t>
  </si>
  <si>
    <t>BIS. INOVA M/C P/MONTAJE SIMPLE, N SATINADO</t>
  </si>
  <si>
    <t>BIS. INOVA M/C P/MONTAJE SIMPLE, NEGRO MATE</t>
  </si>
  <si>
    <t>BISAGRA INOVA C-C 180°,CROMO BRILLANTE</t>
  </si>
  <si>
    <t>BISAGRA INOVA C-C 180°,NIQUEL SATINADO</t>
  </si>
  <si>
    <t>BISAGRA INOVA C-C 90°, CROMO BRILLANTE</t>
  </si>
  <si>
    <t>BISAGRA INOVA C-C 90°, NÍQUEL SATINADO</t>
  </si>
  <si>
    <t>BISAGRA PIVOTANTE P/TECHO INOVA, CROMO BRILLANTE</t>
  </si>
  <si>
    <t>BISAGRA PIVOTANTE P/TECHO INOVA, SATINADO</t>
  </si>
  <si>
    <t>BISAGRA PIVOTANTE P/TECHO INOVA, NEGRO MATE</t>
  </si>
  <si>
    <t>BISAGRA PIV. P/ANTEPECHO INOVA, CROMO BRILLANTE</t>
  </si>
  <si>
    <t>BISAGRA PIV. P/ANTEPECHO INOVA, SATINADO</t>
  </si>
  <si>
    <t>BISAGRA PIV. P/ANTEPECHO INOVA, NEGRO MATE</t>
  </si>
  <si>
    <t>BISAGRA OPCION M/C PARA 10MM. CROMO BRILLANTE</t>
  </si>
  <si>
    <t>BISAGRA OPCION M/C PARA 10MM. NÍQUEL SATINADO</t>
  </si>
  <si>
    <t>BISAGRA OPCION M/C PARA 10MM. NEGRO MATE</t>
  </si>
  <si>
    <t>BISAGRA OPCION M/C P/MONTAJE SIMPLE CROMO BRILLANTE</t>
  </si>
  <si>
    <t>BISAGRA OPCION M/C P/MONTAJE SIMPLE NIQUEL SATINADO</t>
  </si>
  <si>
    <t>BISAGRA OPCION M/C P/MONTAJE SIMPLE NEGRO MATE</t>
  </si>
  <si>
    <t>BISAGRA OPCION C-C 180º 10MM CROMO BRILLANTE</t>
  </si>
  <si>
    <t>BISAGRA OPCION C-C 180º 10MM. NÍQUEL SATINADO</t>
  </si>
  <si>
    <t>BISAGRA OPCION C-C 180º 10MM NEGRO MATE</t>
  </si>
  <si>
    <t>BISAGRA OPCION C-C 90º P/10MM.CROMBRILLANTE</t>
  </si>
  <si>
    <t>BISAGRA OPCION C-C 90º P/10MM. NÍQUEL SATINADO</t>
  </si>
  <si>
    <t>BISAGRA OPCION C-C 135º P/10MM. CROMO BRILLANTE</t>
  </si>
  <si>
    <t>BISAGRA OPCION C-C 135º P/10MM. NÍQUEL SATINADO</t>
  </si>
  <si>
    <t>BISAGRA OPCION DOBLE EN "T", CROMO BRILLANTE</t>
  </si>
  <si>
    <t>BISAGRA OPCION DOBLE EN "T", NIQUEL SATINADO</t>
  </si>
  <si>
    <t>BISAGRA OPCION PIVOTANTE PISO TECHO CROMO BRILLANTE</t>
  </si>
  <si>
    <t>BISAGRA OPCION PIVOTANTE PISO TECHO NIQUEL SATINADO</t>
  </si>
  <si>
    <t>BISAGRA OPCION PIVOTANTE PISO TECHO NEGRO MATE</t>
  </si>
  <si>
    <t>BISAGRA OPCION ANTEPECHO CROMO BRILLANTE</t>
  </si>
  <si>
    <t>BISAGRA OPCION ANTEPECHO NIQUEL SATINADO</t>
  </si>
  <si>
    <t>BISAGRA ZAMAK STILO M/C PARA 10MM. CROMO BRILLANTE</t>
  </si>
  <si>
    <t>BISAGRA ZAMAK STILO M/C PARA 10MM. NIQUEL SATINADO</t>
  </si>
  <si>
    <t>BISAGRA ZAMAK STILO M/C P/MONTAJE SIMPLE CROMO BRILLANTE</t>
  </si>
  <si>
    <t>BISAGRA ZAMAK STILO M/C P/MONTAJE SIMPLE NIQUEL SATINADO</t>
  </si>
  <si>
    <t>BISAGRA ZAMAK STILO C-C 180º 10MM CROMO BRILLANTE</t>
  </si>
  <si>
    <t>BISAGRA ZAMAK STILO C-C 180º 10MM NIQUEL SATINADO</t>
  </si>
  <si>
    <t>BISAGRA ZAMAK STILO C-C 90º 10MM CROMO BRILLANTE</t>
  </si>
  <si>
    <t>BISAGRA ZAMAK STILO C-C 90º 10MM NIQUEL SATINADO</t>
  </si>
  <si>
    <t>BISAGRA ZAMAK STILO C-C 135º 10MM CROMO BRILLANTE</t>
  </si>
  <si>
    <t>BISAGRA ZAMAK STILO C-C 135º 10MM NIQUEL SATINADO</t>
  </si>
  <si>
    <t>BISAGRA STILO M/C PARA 10MM. AC. INOX. 304 BRILLANTE</t>
  </si>
  <si>
    <t>BISAGRA STILO M/C PARA 10MM. AC. INOX. 304 SATINADO</t>
  </si>
  <si>
    <t>BISAGRA STILO M/C P/MONTAJE SIMPLE AC. INOX. 304 BRILLANTE</t>
  </si>
  <si>
    <t>BISAGRA STILO M/C P/MONTAJE SIMPLE AC. INOX. 304 SATINADO</t>
  </si>
  <si>
    <t>BISAGRA STILO C-C 180º 10MM AC. INOX. 304 BRILLANTE</t>
  </si>
  <si>
    <t>BISAGRA STILO C-C 180º 10MM AC. INOX. 304 SATINADO</t>
  </si>
  <si>
    <t>BISAGRA STILO C-C 90º 10MM AC. INOX. 304 BRILLANTE</t>
  </si>
  <si>
    <t>BISAGRA STILO C-C 90º 10MM AC. INOX. 304 SATINADO</t>
  </si>
  <si>
    <t>BISAGRA STILO C-C 135º 10MM AC. INOX. 304 BRILLANTE</t>
  </si>
  <si>
    <t>BISAGRA STILO C-C 135º 10MM AC. INOX. 304 SATINADO</t>
  </si>
  <si>
    <t>BISAGRA M-C AQUA LIGHT, CROMO  BRILLANTE</t>
  </si>
  <si>
    <t>BISAGRA M-C AQUA LIGHT, NÍQUEL SATINADO</t>
  </si>
  <si>
    <t>BISAGRA C-C 180° AQL, CROMO BRILLANTE</t>
  </si>
  <si>
    <t>BISAGRA C-C 180° AQL, NÍQUEL SATINADO</t>
  </si>
  <si>
    <t>BISAGRA C-C TRASLAPADA 180° AQL, CROMO  BRILLANTE</t>
  </si>
  <si>
    <t>BISAGRA C-C TRASLAPADA 180° AQL, NÍQUEL SATINADO</t>
  </si>
  <si>
    <t>BISAGRA C-C 135° AQL, CROMO BRILLANTE</t>
  </si>
  <si>
    <t>BISAGRA C-C 135° AQL, NÍQUEL SATINADO</t>
  </si>
  <si>
    <t>BISAGRA SPIDER MURO CRISTAL  ACERO INOX. 304</t>
  </si>
  <si>
    <t>BISAGRA SPIDER CRISTAL CRISTAL ACERO INOX. 304</t>
  </si>
  <si>
    <t>BISAGRA PIVOTANTE SLIM ROLL  ACERO INOXIDABLE</t>
  </si>
  <si>
    <t>CLIP #5 PREMIUM BASE PARCIAL, 50X50MM, CROMO  BRILLANTE</t>
  </si>
  <si>
    <t>CLIP #5 PREMIUM BASE PARCIAL, 50X50MM, NÍQUEL SATINADO</t>
  </si>
  <si>
    <t>CLIP #5 PREMIUM BASE PARCIAL, 50X50MM, NEGRO MATE</t>
  </si>
  <si>
    <t>CLIP #4 PREMIUM BASE COMPLETA, 50X50MM, CROMO  BRILLANTE</t>
  </si>
  <si>
    <t>CLIP #4 PREMIUM BASE COMPLETA, 50X50MM, NÍQUEL SATINADO</t>
  </si>
  <si>
    <t>CLIP #3 PREMIUM 90° CRISTAL CRISTAL, 50X50MM, CROMO  BRILLANTE</t>
  </si>
  <si>
    <t>CLIP #3 PREMIUM 90° CRISTAL CRISTAL, 50X50MM, NÍQUEL SATINADO</t>
  </si>
  <si>
    <t>CLIP #6 PREMIUM CRISTAL-CRISTAL 180°, 50X50MM, CROMO  BRILLANTE</t>
  </si>
  <si>
    <t>CLIP #6 PREMIUM CRISTAL-CRISTAL 180°, 50X50MM, NIQUEL SATINADO</t>
  </si>
  <si>
    <t>CLIP #1 PREMIUM CRISTAL CRISTAL, 50X50MM, CROMO BRILLANTE</t>
  </si>
  <si>
    <t>CLIP #1 PREMIUM CRISTAL CRISTAL, 50X50MM, NÍQUEL SATINADO</t>
  </si>
  <si>
    <t>CLIP #2 PREMIUM 135° CRISTAL CRISTAL, 50X50MM, CROMO  BRILLANTE</t>
  </si>
  <si>
    <t>CLIP #2 PREMIUM 135° CRISTAL CRISTAL, 50X50MM,  NÍQUEL SATINADO</t>
  </si>
  <si>
    <t>CLIP OPCION BASE PARCIAL BRILLANTE</t>
  </si>
  <si>
    <t>CLIP OPCION BASE PARCIAL AC. INOX. 304 SATINADO</t>
  </si>
  <si>
    <t>CLIP OPCION BASE PARCIAL NEGRO MATE</t>
  </si>
  <si>
    <t>CLIP OPCION BASE COMPLETA AC. INOX. 304 BRILLANTE</t>
  </si>
  <si>
    <t>CLIP OPCION BASE COMPLETA AC. INOX. 304 SATINADO</t>
  </si>
  <si>
    <t>CLIP OPCION A 90° AC. INOX. 304 BRILLANTE</t>
  </si>
  <si>
    <t>CLIP OPCION A 90° AC. INOX. 304 SATINADO</t>
  </si>
  <si>
    <t>CLIP OPCION A 135° AC. INOX. 304 BRILLANTE</t>
  </si>
  <si>
    <t>CLIP OPCION A 135° AC. INOX. 304 SATINADO</t>
  </si>
  <si>
    <t>CLIP OPCION A 180° MURO CRISTAL CROMO BRILLANTE</t>
  </si>
  <si>
    <t>CLIP OPCION A 180° MURO AC. INOX. 304 SATINADO</t>
  </si>
  <si>
    <t>CLIP OPCION A 180° CRISTAL CRISTAL AC. INOX. 304 BRILLANTE</t>
  </si>
  <si>
    <t>CLIP OPCION A 180° CRISTAL CRISTAL AC. INOX. 304 SATINADO</t>
  </si>
  <si>
    <t>CLIP STILO BASE PARCIAL AC. INOX. 304 BRILLANTE</t>
  </si>
  <si>
    <t>CLIP STILO BASE PARCIAL AC. INOX. 304 SATINADO</t>
  </si>
  <si>
    <t>CLIP STILO A 90° AC. INOX. 304 BRILLANTE</t>
  </si>
  <si>
    <t>CLIP STILO A 90° AC. INOX. 304 SATINADO</t>
  </si>
  <si>
    <t>CLIP STILO A 135° AC. INOX. 304 BRILLANTE</t>
  </si>
  <si>
    <t>CLIP STILO A 135° AC. INOX. 304 SATINADO</t>
  </si>
  <si>
    <t>CLIP STILO A 180° CRISTAL CRISTAL AC. INOX. 304 BRILLANTE</t>
  </si>
  <si>
    <t>CLIP STILO A 180° CRISTAL CRISTAL AC. INOX. 304 SATINADO</t>
  </si>
  <si>
    <t>CLIP ZAMAK STILO BASE PARCIAL CROMO BRILLANTE</t>
  </si>
  <si>
    <t>CLIP ZAMAK STILO BASE PARCIAL NIQUEL SATINADO</t>
  </si>
  <si>
    <t>CLIP ZAMAK STILO A 90° CROMO BRILLANTE</t>
  </si>
  <si>
    <t>CLIP ZAMAK STILO A 90° NIQUEL SATINADO</t>
  </si>
  <si>
    <t>CLIP ZAMAK STILO A 135° CROMO BRILLANTE</t>
  </si>
  <si>
    <t>CLIP ZAMAK STILO A 135° NIQUEL SATINADO</t>
  </si>
  <si>
    <t>CLIP ZAMAK STILO A 180° CRISTAL CRISTAL CROMO BRILLANTE</t>
  </si>
  <si>
    <t>CLIP ZAMAK STILO A 180° CRISTAL CRISTAL NIQUEL SATINADO</t>
  </si>
  <si>
    <t>ANGULO M-C 90° INOVA,CROMO BRILLANTE</t>
  </si>
  <si>
    <t>ANGULO M-C 90° INOVA,NIQUEL SATINADO</t>
  </si>
  <si>
    <t>ANGULO C-C 90° INOVA,CROMO BRILLANTE</t>
  </si>
  <si>
    <t>ANGULO C-C 90° INOVA, NÍQUEL SATINADO</t>
  </si>
  <si>
    <t>ANGULO INOVA M/C EN T CROMO BRILLANTE</t>
  </si>
  <si>
    <t>ANGULO INOVA M/C EN T NIQ SATINADO</t>
  </si>
  <si>
    <t>ANGULO INOVA C/C EN T CROMO BRILLANTE</t>
  </si>
  <si>
    <t>ANGULO INOVA C-C EN T NIQ SATINADO</t>
  </si>
  <si>
    <t>ANGULO M-C AQUA LIGHT 90°, CROMO  BRILLANTE</t>
  </si>
  <si>
    <t>ANGULO M-C AQUA LIGHT 90°, NÍQUEL SATINADO</t>
  </si>
  <si>
    <t>ANGULO C-C AQUA LIGHT 90°, CROMO  BRILLANTE</t>
  </si>
  <si>
    <t>ANGULO C-C AQUA LIGHT 90°, NÍQUEL SATINADO</t>
  </si>
  <si>
    <t>CONECTOR GWC 700 MURO-CRISTAL, CROMO  BRILLANTE</t>
  </si>
  <si>
    <t>CONECTOR  GWC 700 MURO-CRISTAL , NÍQUEL SATINADO</t>
  </si>
  <si>
    <t>CONECTOR  GGC 700 CRISTAL-CRISTAL, CROMO  BRILLANTE</t>
  </si>
  <si>
    <t>CONECTOR GGC 700  CRISTAL-CRISTAL, NÍQUEL SATINADO</t>
  </si>
  <si>
    <t>CONECTOR SPIDER MURO CRISTAL ACERO INOX. 304</t>
  </si>
  <si>
    <t>JALADERA TUBULAR DOBLE TIPO "C" P6, BRILLANTE</t>
  </si>
  <si>
    <t>JALADERA TUBULAR DOBLE TIPO "C" P6, SATINADO</t>
  </si>
  <si>
    <t>JALADERA TUBULAR DOBLE TIPO "C" P6, NEGRO MATE</t>
  </si>
  <si>
    <t>JALADERA TUBULAR "C" SIMPLE P6, BRILLANTE</t>
  </si>
  <si>
    <t>JALADERA TUBULAR "C" SIMPLE P6, SATINADO</t>
  </si>
  <si>
    <t>JALADERA TUBULAR SIMPLE 18", BRILLANTE</t>
  </si>
  <si>
    <t>JALADERA TUBULAR SIMPLE 18", SATINADO</t>
  </si>
  <si>
    <t>JALADERA TUBULAR SIMPLE 24", BRILLANTE</t>
  </si>
  <si>
    <t>JALADERA TUBULAR SIMPLE 24", SATINADO</t>
  </si>
  <si>
    <t>JALADERA TUBULAR DOBLE 18", BRILLANTE</t>
  </si>
  <si>
    <t>JALADERA TUBULAR DOBLE 18", SATINADO</t>
  </si>
  <si>
    <t>JALADERA TUBULAR DOBLE 24", BRILLANTE</t>
  </si>
  <si>
    <t>JALADERA TUBULAR DOBLE 24", SATINADO</t>
  </si>
  <si>
    <t>JALADERA PREMIUM GLAMOUR GDK-2, CROMO  BRILLANTE</t>
  </si>
  <si>
    <t>JALADERA PREMIUM GLAMOUR GDK-2, NÍQUEL SATINADO</t>
  </si>
  <si>
    <t>JALADERA PREMIUM GLAMOUR GDK-2, NEGRO MATE</t>
  </si>
  <si>
    <t>JALADERA DE POMO PRISMA 1.5" CROMO BTE</t>
  </si>
  <si>
    <t>JALADERA DE POMO PRISMA 1.5" NÍQUEL SATINADO</t>
  </si>
  <si>
    <t>JALADERA ROYAL, CROMO  BRILLANTE</t>
  </si>
  <si>
    <t>JALADERA ROYAL, NÍQUEL SATINADO</t>
  </si>
  <si>
    <t>JALADERA DE BOTÓN  1" TH01 CROMO BRILLANTE</t>
  </si>
  <si>
    <t>JALADERA DE BOTÓN 1" TH01 NÍQUEL SATINADO</t>
  </si>
  <si>
    <t>JALADERA DE BOTÓN 1" TH01 NEGRO MATE</t>
  </si>
  <si>
    <t>JALADERA DE POMO CASCADA 1" CROMO BRILLANTE</t>
  </si>
  <si>
    <t>JALADERA DE POMO CASCADA 1" NÍQUEL SATINADO</t>
  </si>
  <si>
    <t>JALADERA GDK3 GLASS DEFINITIV NATURAL BRILLANTE</t>
  </si>
  <si>
    <t>JALADERA GDK3 GLASS DEFINITIV INOXIDABLE MATE</t>
  </si>
  <si>
    <t>JALADERA GDK3 GLASS DEFINITIV NEGRO</t>
  </si>
  <si>
    <t>JALADERA DE POMO OPCION H01 ESPIRAL 30X32MM BRILLANTE</t>
  </si>
  <si>
    <t>JALADERA DE POMO OPCION H01 ESPIRAL 30X32MM SATINADO</t>
  </si>
  <si>
    <t>JALADERA DE POMO OPCION H01 ESPIRAL 30X32MM NEGRO MATE</t>
  </si>
  <si>
    <t>JALADERA DE POMO OPCION H02 ROYAL 32X38MM BRILLANTE</t>
  </si>
  <si>
    <t>JALADERA DE POMO OPCION H02 ROYAL 32X38MM SATINADO</t>
  </si>
  <si>
    <t>JALADERA DE POMO OPCION H02 ROYAL 32X38MM NEGRO MATE</t>
  </si>
  <si>
    <t>JALADERA DE POMO STILO 30X30MM, BRILLANTE</t>
  </si>
  <si>
    <t>JALADERA DE POMO STILO 30X30MM SATINADO</t>
  </si>
  <si>
    <t>CERRADURA PORTE, CROMO  BRILLANTE</t>
  </si>
  <si>
    <t>CERRADURA PORTE, NÍQUEL SATINADO</t>
  </si>
  <si>
    <t>CONTRACHAPA PORTE C/C , CROMO BRILLANTE</t>
  </si>
  <si>
    <t>CONTRACHAPA PORTE C/C, NÍQUEL SATINADO</t>
  </si>
  <si>
    <t>CONTRACHAPA PORTE M/C, CROMO  BRILLANTE</t>
  </si>
  <si>
    <t>CONTRACHAPA PORTE M/C, NÍQUEL SATINADO</t>
  </si>
  <si>
    <t>PASADOR UNIQUE CON PLACA INDICADORA CROMO BRILLANTE</t>
  </si>
  <si>
    <t>PASADOR UNIQUE CON PLACA INDICADORA NIQUEL SATINADO</t>
  </si>
  <si>
    <t>CONTRA PASADOR UNIQUE A CRISTAL DE PLACA INDICADORA CROMO BRILLANTE</t>
  </si>
  <si>
    <t>CONTRA PASADOR UNIQUE A CRISTAL DE PLACA INDICADORA NIQUEL SATINADO</t>
  </si>
  <si>
    <t>CERRADURA C/PASADOR INDICADOR, BRILLANTE</t>
  </si>
  <si>
    <t>CERRADURA C/PASADOR INDICADOR, SATINADO</t>
  </si>
  <si>
    <t>BARRA ESTABILIZADORA  M/C 800/1000MM AC. IN BRILLANTE</t>
  </si>
  <si>
    <t>BARRA ESTABILIZADORA M-C 800/1000MM AC.INOX. SATINADO</t>
  </si>
  <si>
    <t>BARRA ESTABILIZADORA C-C 800/1000MM AJUS.BRILLANTE</t>
  </si>
  <si>
    <t>BARRA ESTABILIZADORA C-C 800/1000MM AJUS AC. INOX. SAT.</t>
  </si>
  <si>
    <t>BARRA ESTB. M-C 135° AJUSTABLE 270-450MM AC. INOX. BTE.</t>
  </si>
  <si>
    <t>BARRA ESTB.M-C 135° AJUS.270-450MM AC. INOX. SATINADO</t>
  </si>
  <si>
    <t>VINIL ALETA SUAVE, 6MM L=2.5 METROS</t>
  </si>
  <si>
    <t>VINIL ALETA SUAVE, 9MM L=2.5 METROS</t>
  </si>
  <si>
    <t>VINIL ALETA SUAVE, 12MM L=2.5 METROS</t>
  </si>
  <si>
    <t>VINIL ALETA SUAVE CENTRADA DE 9 MM L=2.5 METROS</t>
  </si>
  <si>
    <t>ALETA LARGA 135 P/ CRISTAL 10MM L=2.5 METROS</t>
  </si>
  <si>
    <t>VINIL PERFIL H BATIENTE, 9MM L=2.5 METROS</t>
  </si>
  <si>
    <t>VINIL PERFIL H BATIENTE, 12MM L=2.5 METROS</t>
  </si>
  <si>
    <t>VINIL PERFIL K BATIENTE, 9MM L=2.5 METROS</t>
  </si>
  <si>
    <t>VINIL PERFIL K BATIENTE,12MM L=2.5 METROS</t>
  </si>
  <si>
    <t>VINIL ALETA DURA  DE 9MM L=2.5 METROS</t>
  </si>
  <si>
    <t>VINIL BOTAGUAS DE 9MM L=2.5 METROS</t>
  </si>
  <si>
    <t>VINIL BOTAGUAS ALETA LARGA CON SELLO AL PISO PARA CRISTAL 10MM L=2.5MTS</t>
  </si>
  <si>
    <t>VINIL AMORTIGUADOR DE 9 MM L=2.5 METROS</t>
  </si>
  <si>
    <t>VINIL CONVERTIDOR DE 6 A 10MM L=2.5 METROS</t>
  </si>
  <si>
    <t>VINIL CONVERTIDOR DE 10MM A 12MM L=2.5 METROS</t>
  </si>
  <si>
    <t>VINILO ALETA F 15MM P/CRISTAL DE 9.5 MM L=2.5 METROS</t>
  </si>
  <si>
    <t>VINILO MAGNÉTICO 90°,180 10MM (JGO. 2 PZAS. ) L=2.5 METROS</t>
  </si>
  <si>
    <t>VINIL MAGNÉTICO 180º,135º 10MM (JGO. 2 PZAS. ) L=2.5 METROS</t>
  </si>
  <si>
    <t>VINIL CON FELPA PARA CRISTAL 10MM L=2.5 METROS</t>
  </si>
  <si>
    <t>VINIL MEDIA LUNA PARA CANTO DE CRISTAL 8X5MM L=3 MTS, CON ADHESIVO</t>
  </si>
  <si>
    <t>ACRILICO MEDIA LUNA PARA RETENER AGUA EN PISO, DE 12X6MM L=2.5MTS CON CINTA ADHESIVA</t>
  </si>
  <si>
    <t>CANC.CORR.GLASS LIGHT 1.20X2.00 MT.BRILLANTE</t>
  </si>
  <si>
    <t>CANC.CORR.GLASS LIGHT 1.20X2.00 MT MATE</t>
  </si>
  <si>
    <t>CANC.CORR.GLASS LIGHT 1.20X2.00 MT. NEGRO</t>
  </si>
  <si>
    <t>CANC.CORR.GLASS LIGHT 1.20X2.00 MT.BLANCO</t>
  </si>
  <si>
    <t>CANC.CORR.GLASS LIGHT 1.20X2.00 MT INOXIDABLE MATE</t>
  </si>
  <si>
    <t>CANC.CORR.GLASS LIGHT 1.20 X 2.00 MT INOXIDABLE BRILLANTE</t>
  </si>
  <si>
    <t>CANC.CORR.GLASS LIGHT 1.50X2.00 MT.BRILLANTE</t>
  </si>
  <si>
    <t>CANC.CORR.GLASS LIGHT 1.50X2.00 MT.MATE</t>
  </si>
  <si>
    <t>CANC.CORR.GLASS LIGHT 1.50X2.00 MT. NEGRO</t>
  </si>
  <si>
    <t>CANC.CORR.GLASS LIGHT 1.50X2.00 MT. BLANCO</t>
  </si>
  <si>
    <t>CANC.CORR.GLASS LIGHT 1.50X2.00 MT. INOXIDABLE MATE</t>
  </si>
  <si>
    <t>CANC.CORR.GLASS LIGHT 1.50X2.00 MT INOXIDABLE BRILLANTE</t>
  </si>
  <si>
    <t>CANC.CORR.GLASS LIGHT 2.00X2.00 MT.BRILLANTE</t>
  </si>
  <si>
    <t>CANC.CORR.GLASS LIGHT 2.00X2.00 MT.MATE</t>
  </si>
  <si>
    <t>CANC.CORR.GLASS LIGHT 2.00X2.00 MT. NEGRO</t>
  </si>
  <si>
    <t>CANC.CORR.GLASS LIGHT 2.00X2.00 MT.BLANCO</t>
  </si>
  <si>
    <t>CANC.CORR.GLASS LIGHT 2.00X2.00 MT. INOXIDABLE MATE</t>
  </si>
  <si>
    <t>CANC.CORR.GLASS LIGHT 2.00 X 2.00 MT INOXIDABLE BRILLANTE</t>
  </si>
  <si>
    <t>CANC.CORR.GLASS LIGHT C/BARRENO 1.20X2.00M BRILLANTE</t>
  </si>
  <si>
    <t>CANC.CORR.GLASS LIGHT C/BARRENO 1.20X2.00M MATE</t>
  </si>
  <si>
    <t>CANC.CORR.GLASS LIGHT C/BARRENO 1.20X2.00M NEGRO</t>
  </si>
  <si>
    <t>CANC.CORR.GLASS LIGHT C/BARRENO 1.20X2.00M BLANCO</t>
  </si>
  <si>
    <t>CANC.CORR.GLASS LIGHT C/BARRENO 1.20X2.00M INOX. MATE</t>
  </si>
  <si>
    <t>CANC.CORR.GLASS LIGHT C/BARRENO 1.20X2.00M INOX. BRILLANTE</t>
  </si>
  <si>
    <t>CANC.CORR.GLASS LIGHT C/BARRENO 1.50X2.00M BRILLANTE</t>
  </si>
  <si>
    <t>CANC.CORR.GLASS LIGHT C/BARRENO 1.50X2.00M MATE</t>
  </si>
  <si>
    <t>CANC.CORR.GLASS LIGHT C/BARRENO 1.50X2.00M NEGRO</t>
  </si>
  <si>
    <t>CANC.CORR.GLASS LIGHT C/BARRENO 1.50X2.00M BLANCO</t>
  </si>
  <si>
    <t>CANC.CORR.GLASS LIGHT C/BARRENO 1.50X2.00M INOX. MATE</t>
  </si>
  <si>
    <t>CANC.CORR.GLASS LIGHT C/BARRENO 1.50X2.00M INOX. BRILLANTE</t>
  </si>
  <si>
    <t>CANC.CORR.GLASS LIGHT C/BARRENO 2.00X2.00M BRILLANTE</t>
  </si>
  <si>
    <t>CANC.CORR.GLASS LIGHT C/BARRENO 2.00X2.00M MATE</t>
  </si>
  <si>
    <t>CANC.CORR.GLASS LIGHT C/BARRENO 2.00X2.00M NEGRO</t>
  </si>
  <si>
    <t>CANC.CORR.GLASS LIGHT C/BARRENO 2.00X2.00M BLANCO</t>
  </si>
  <si>
    <t>CANC.CORR.GLASS LIGHT C/BARRENO 2.00X2.00M INOX. MATE</t>
  </si>
  <si>
    <t>CANC.CORR.GLASS LIGHT C/BARRENO 2.00X2.00M INOX. BRILLANTE</t>
  </si>
  <si>
    <t>CANC.CORR.GLASS LIGHT 1.20X2.00M BRILLANTE C/TOALLERO</t>
  </si>
  <si>
    <t>CANC.CORR.GLASS LIGHT 1.20X2.00M MATE C/TOALLERO</t>
  </si>
  <si>
    <t>CANC.CORR.GLASS LIGHT 1.20X2.00M NEGRO C/TOALLERO</t>
  </si>
  <si>
    <t>CANC.CORR.GLASS LIGHT 1.20X2.00M BLANCO C/TOALLERO</t>
  </si>
  <si>
    <t>CANC.CORR.GLASS LIGHT 1.20X2.00M INOX. MATE C/TOALLERO</t>
  </si>
  <si>
    <t>CANC.CORR.GLASS LIGHT 1.20X2.00M INOX. BRILLANTE C/TOALLERO</t>
  </si>
  <si>
    <t>CANC.CORR.GLASS LIGHT 1.50X2.00M BRILLANTE C/TOALLERO</t>
  </si>
  <si>
    <t>CANC.CORR.GLASS LIGHT 1.50X2.00M MATE C/TOALLERO</t>
  </si>
  <si>
    <t>CANC.CORR.GLASS LIGHT 1.50X2.00M NEGRO C/TOALLERO</t>
  </si>
  <si>
    <t>CANC.CORR.GLASS LIGHT 1.50X2.00M BLANCO C/TOALLERO</t>
  </si>
  <si>
    <t>CANC.CORR.GLASS LIGHT 1.50X2.00M INOX. MATE C/TOALLERO</t>
  </si>
  <si>
    <t>CANC.CORR.GLASS LIGHT 1.50X2.00M INOX. BRILLANTE C/TOALLERO</t>
  </si>
  <si>
    <t>CANC.CORR.GLASS LIGHT 2.00X2.00M BRILLANTE C/TOALLERO</t>
  </si>
  <si>
    <t>CANC.CORR.GLASS LIGHT 2.00X2.00M MATE C/TOALLERO</t>
  </si>
  <si>
    <t>CANC.CORR.GLASS LIGHT 2.00X2.00M NEGRO C/TOALLERO</t>
  </si>
  <si>
    <t>CANC.CORR.GLASS LIGHT 2.00X2.00M BLANCO C/TOALLERO</t>
  </si>
  <si>
    <t>CANC.CORR.GLASS LIGHT 2.00X2.00M INOX. MATE C/TOALLERO</t>
  </si>
  <si>
    <t>CANC.CORR.GLASS LIGHT 2.00X2.00M INOX. BRILLANTE C/TOALLERO</t>
  </si>
  <si>
    <t>PERFILES HORZ GLASS DEF NAT BRILLANTE MTS</t>
  </si>
  <si>
    <t>PERFILES HORZ GLASS DEF NATURAL MATE MTS</t>
  </si>
  <si>
    <t>PERFILES HORZ GLASS DEF NEGRO MTS</t>
  </si>
  <si>
    <t>PERFILES HORZ GLASS DEF BLANCO MTS</t>
  </si>
  <si>
    <t>PERFILES VERT GLASS DEF NAT BRILLANTE MTS</t>
  </si>
  <si>
    <t>PERFILES VERT GLASS DEF NATURAL MATE MTS</t>
  </si>
  <si>
    <t>PERFILES VERT GLASS DEF NEGRO MTS</t>
  </si>
  <si>
    <t>PERFILES VERT GLASS DEF BLANCO MTS</t>
  </si>
  <si>
    <t>HERRAJES P/CANCEL GLASS DEF N  BRILLANTE</t>
  </si>
  <si>
    <t>HERRAJES P/ CANCEL GLASS DEF N. MATE</t>
  </si>
  <si>
    <t>HERRAJES PARA CANCEL GLASS DEF NEGRO</t>
  </si>
  <si>
    <t>HERRAJES P/CANCEL GLASS DEFINITIV, BLANCO</t>
  </si>
  <si>
    <t>CANCEL DE BAÑO CORREDIZO AQUATECH, 2.0 MTS, PARA CRISTAL 10MM, AC. INOX. SATINADO</t>
  </si>
  <si>
    <t>CANCEL DE BAÑO CORREDIZO AQUATECH, 2.0 MTS, PARA CRISTAL 10MM, AC. INOX. NEGRO MATE</t>
  </si>
  <si>
    <t>KIT PARA SELLAR CANCEL AQUATECH SATIN DE HASTA 2.00 M, INCLUYE VINILOS Y PERFILES</t>
  </si>
  <si>
    <t>KIT PARA SELLAR CANCEL AQUATECH NEGRO DE HASTA 2.00 M, INCLUYE VINILOS Y PERFILES</t>
  </si>
  <si>
    <t>CONECTOR A 90° PARA CANCEL EN ESCUADRA AQUATECH, ACERO INOX. SATINADO</t>
  </si>
  <si>
    <t>CONECTOR PARA CRISTAL FIJO A 90° CANCEL AQUATECH, ACERO INOX. SATINADO</t>
  </si>
  <si>
    <t>CANCEL PLEGABLE SLIDER DE HASTA 1MT DE ANCHO X 2MT ALTURA, AC. INOX. 304 SATINADO</t>
  </si>
  <si>
    <t>CANCEL PLEGABLE SLIDER DE HASTA 1MT ANCHO X 2MT DE ALTURA, AC. INOX. 304 NEGRO</t>
  </si>
  <si>
    <t>JALADERA PARA CANCEL SLIDER, AC. INOX. 304 SATINADO</t>
  </si>
  <si>
    <t>JALADERA PARA CANCEL SLIDER, AC. INOX. 304 NEGRO MATE</t>
  </si>
  <si>
    <t>SET DE 2 JALADERAS TIPO POMO PARA CANCEL SLIDER, ACERO INOX 304 SATINADO</t>
  </si>
  <si>
    <t>SET DE 2 JALADERAS TIPO POMO PARA CANCEL SLIDER, ACERO INOX 304 NEGRO</t>
  </si>
  <si>
    <t>RIEL GLASS INFINITIV TRAMO CORTE NATURAL MATE X METRO</t>
  </si>
  <si>
    <t>RIEL GLASS INFINITIV TRAMO CORTE NATURAL BRILLANTE X METRO</t>
  </si>
  <si>
    <t>HERRAJES P/CANCEL PLEGADIZO INFINITY 6MM, NATURAL MATE</t>
  </si>
  <si>
    <t>HERRAJES P/CANCEL PLEGADIZO INFINITY 6MM, NATURAL BRILLANTE</t>
  </si>
  <si>
    <t>HERRAJES P/CANCEL PLEGADIZO INFINITY 9MM, NATURAL MATE</t>
  </si>
  <si>
    <t>HERRAJES P/CANCEL PLEGADIZO INFINITY 9MM, NATURAL BRILLANTE</t>
  </si>
  <si>
    <t>CIERRAPUERTAS DE PISO HIDRÁULICO DORMA BTS60 PARA 80 KG/900MM, CON TAPA, CAJA Y EJE</t>
  </si>
  <si>
    <t>CIERRAPUERTAS DE PISO HIDRÁULICO DORMA BTS65 PARA 100KG/1100MM EN4  CON CAJA,TAPA Y EJE</t>
  </si>
  <si>
    <t>CIERRAPUERTAS DE PISO HIDRÁULICO DORMA BTS75R PARA 180KG/1250MM EN 2-5 CON TAPA, CAJA Y EJE</t>
  </si>
  <si>
    <t>CIERRAPUERTAS DE PISO HIDRÁULICO BTS-80, POTENCIA FIJA EN 6 (CON TAPA Y EJE) PARA PUERTAS DE HASTA 3</t>
  </si>
  <si>
    <t>CIERRAPUERTAS DE PISO HIDRÁULICO GEZE TS500N EN3 (100KG, 1000MM) RETENCION 90° FUERZA 3 , CON CAJA,</t>
  </si>
  <si>
    <t>CIERRAPUERTAS DE PISO HIDRÁULICO GEZE TS 500 NV (150KG, 1200MM) HO90° FUERZA 1-4 EN 1154 , CON CAJA,</t>
  </si>
  <si>
    <t>CIERRAPUERTAS DE PISO HIDRÁULICO GEZE TS 550 NV (300KG, 1400MM) EN 3-6 , CON CAJA, TAPA Y EJE</t>
  </si>
  <si>
    <t>CIERRAPUERTAS DE PISO HIDRÁULICO OPCION PARA MAX 100 KG, 900MM. EN#2, EJE TIPO DORMA, TAPA ACERO INO</t>
  </si>
  <si>
    <t>CIERRAPUERTAS DE PISO HIDRÁULICO OPCION PARA MAX 100 KG, 900MM. EN#2, EJE TIPO DORMA, TAPA NEGRO</t>
  </si>
  <si>
    <t>CIERRAPUERTAS DE PISO HIDRÁULICO OPCION PARA MAX 120 KG, 1100MM. EN#4, EJE TIPO DORMA, TAPA ACERO IN</t>
  </si>
  <si>
    <t>CIERRAPUERTAS DE PISO HIDRÁULICO OPCION PARA MAX 120 KG, 1100MM. EN#4, EJE TIPO DORMA, TAPA NEGRO</t>
  </si>
  <si>
    <t>CIERRAPUERTAS AÉREO HIDRÁULICO OPCION, PARA MAX 120 KG, 1100MM, CON ACCESORIOS</t>
  </si>
  <si>
    <t>HERRAJE HIDRÁULICO TEH100 AC. INOX. BRILLANTE</t>
  </si>
  <si>
    <t>HERRAJE HIDRÁULICO TEH100 AC. INOX. SATINADO</t>
  </si>
  <si>
    <t>HERRAJE HIDRÁULICO TEH100 AC. INOX. NEGRO</t>
  </si>
  <si>
    <t>PIVOTE SUPERIOR ACERO INOX. 304 BRILLANTE</t>
  </si>
  <si>
    <t>PIVOTE SUPERIOR ACERO INOX. 304 SATINADO</t>
  </si>
  <si>
    <t>PIVOTE SUPERIOR AC. INOX. 304 NEGRO MATE</t>
  </si>
  <si>
    <t>HERRAJE SUPERIOR GRANDE P/HERRAJE HIDRÁULICO TEH100 AC. INOX. BRILLANTE</t>
  </si>
  <si>
    <t>HERRAJE SUPERIOR GRANDE P/HERRAJE HIDRÁULICO TEH100 AC. INOX. SATINADO</t>
  </si>
  <si>
    <t>HERRAJE SUPERIOR GRANDE P/HERRAJE HIDRÁULICO TEH100 AC. INOX. NEGRO</t>
  </si>
  <si>
    <t>KIT DE HERRAJES HIDRAULICO TEH100 BRILLANTE</t>
  </si>
  <si>
    <t>KIT DE HERRAJES HIDRAULICO TEH100 SATIN</t>
  </si>
  <si>
    <t>KIT DE HERRAJES HIDRAULICO TEH100 NEGRO MATE</t>
  </si>
  <si>
    <t>PIVOTE DGPT 24 SUPERIOR, ACERO INOXIDABLE SATINADO</t>
  </si>
  <si>
    <t>HERRAJE DGPT 10 INFERIOR, HERRAJE Y TAPA ACERO INOXIDABLE SATINADO</t>
  </si>
  <si>
    <t>HERRAJE DGPT 20 SUPERIOR, HERRAJE Y TAPA ACERO INOXIDABLE SATINADO</t>
  </si>
  <si>
    <t>CERRADURA DE ESQUINA DUS 10 HERRAJE, TAPA, CILINDRO Y CONTRA A MURO ACERO INOXIDABLE</t>
  </si>
  <si>
    <t>SOPORTE DGPT 30 PARA BATIENTE, HERRAJE Y TAPA ACERO INOXIDABLE SATINADO</t>
  </si>
  <si>
    <t>SOPORTE DGPT 40 DE BANDEROLA, HERRAJE Y TAPA ACERO INOXIDABLE SATINADO</t>
  </si>
  <si>
    <t>CONJUNTO PIVOTE Y BRAZO DORMA PARA CIERRAPUERTAS DE PISO HIDRÁULICO</t>
  </si>
  <si>
    <t>EJE DORMA CIERRAPUERTAS DE PISO HIDRÁULICO BTS65, BTS75, BTS84</t>
  </si>
  <si>
    <t>PIVOTE OPCION INFERIOR CON RODAMIENTO NATURAL MATE</t>
  </si>
  <si>
    <t>PIVOTE OPCION INFERIOR CON RODAMIENTO NEGRO MATE</t>
  </si>
  <si>
    <t>HERRAJE OPCION INFERIOR ACERO INOXIDABLE BRILLANTE</t>
  </si>
  <si>
    <t>HERRAJE  OPCION INFERIOR  ACERO INOXIDABLE  SATINADO</t>
  </si>
  <si>
    <t>HERRAJE  OPCION INFERIOR AC. INOX. NEGRO MATE</t>
  </si>
  <si>
    <t>HERRAJE OPCION SUPERIOR ACERO INOXIDABLE BRILLANTE</t>
  </si>
  <si>
    <t>HERRAJE OPCION SUPERIOR  ACERO INOXIDABLE SATINADO</t>
  </si>
  <si>
    <t>HERRAJE OPCION SUPERIOR AC. INOX. NEGRO MATE</t>
  </si>
  <si>
    <t>CERRADURA DE ESQUINA OPCION, ACERO INOXIDABLE BRILLANTE</t>
  </si>
  <si>
    <t>CERRADURA DE ESQUINA OPCION, ACERO INOXIDABLE SATINADO</t>
  </si>
  <si>
    <t>CERRADURA DE ESQUINA OPCION, AC. INOX. NEGRO MATE</t>
  </si>
  <si>
    <t>SOPORTE OPCION PARA BATIENTE AC. INOX. BRILLANTE</t>
  </si>
  <si>
    <t>SOPORTE OPCION PARA BATIENTE  ACERO INOXIDABLE SATINADO</t>
  </si>
  <si>
    <t>SOPORTE OPCION PARA BATIENTE AC. INOX. NEGRO MATE</t>
  </si>
  <si>
    <t>SOPORTE OPCION ANTEPECHO TIPO L  AC. INOX. BRILLANTE</t>
  </si>
  <si>
    <t>SOPORTE OPCION ANTEPECHO TIPO L  ACERO INOXIDABLE SATINADO</t>
  </si>
  <si>
    <t>SOPORTE OPCION ANTEPECHO TIPO L  AC. INOX. NEGRO MATE</t>
  </si>
  <si>
    <t>SOPORTE CENTRAL SUPERIOR DOBLE PARA BATIENTE CON PORTA COSTILLA OPCION, ACERO INOX SATINADO</t>
  </si>
  <si>
    <t>SOPORTE OPCION  BATIENTE CENTRAL DOBLE ACERO INOXIDABLE SATINADO</t>
  </si>
  <si>
    <t>SOPORTE OPCION TRIPLE P/ ANTEPECHO  DERECHO TIPO L  AC. INOX. SATINADO</t>
  </si>
  <si>
    <t>SOPORTE OPCION TRIPLE P/ANTEPECHO IZQUIERDO TIPO L  AC. INOX. SATINADO</t>
  </si>
  <si>
    <t>SOPORTE OPCION TRIPLE ACERO INOXIDABLE BRILLANTE</t>
  </si>
  <si>
    <t>SOPORTE OPCION TRIPLE ACERO INOXIDABLE  SATINADO</t>
  </si>
  <si>
    <t>SOPORTE OPCION SIMPLE ACERO INOXIDABLE BRILLANTE</t>
  </si>
  <si>
    <t>SOPORTE OPCION SIMPLE  ACERO INOXIDABLE SATINADO</t>
  </si>
  <si>
    <t>SOPORTE OPCION SIMPLE AC. INOX. NEGRO MATE</t>
  </si>
  <si>
    <t>CONJUNTO PIVOTE Y BRAZO OPCION PARA CIERRAPUERTAS DE PISO HIDRÁULICO</t>
  </si>
  <si>
    <t>BRAZO DE APOYO BFT PARA CIERRAPUERTAS DE PISO HIDRÁULICO DE 5", NEGRO</t>
  </si>
  <si>
    <t>INSERTO PARA CIERRAPUERTAS AÉREO HIDRÁULICO OPCIÓN</t>
  </si>
  <si>
    <t>KIT DE HERRAJES DGPT DORMA PARA PUERTA DE CRISTAL CON CIERRAPUERTAS DE PISO HIDRÁULICO BTS60, ACERO</t>
  </si>
  <si>
    <t>KIT DE HERRAJES DGPT DORMA PARA PUERTA DE CRISTAL CON CIERRAPUERTAS DE PISO HIDRÁULICO BTS65, ACERO</t>
  </si>
  <si>
    <t>KIT DE HERRAJES DGPT DORMA PARA PUERTA DE CRISTAL CON CIERRAPUERTAS DE PISO HIDRÁULICO BTS75R, ACERO</t>
  </si>
  <si>
    <t>KIT DE CIERRAPUERTAS DE PISO HIDRÁULICO DORMA BTS60 CON HERRAJES OPCION, ACERO INOX</t>
  </si>
  <si>
    <t>KIT DE CIERRAPUERTAS DE PISO HIDRÁULICO DORMA BTS65 CON HERRAJES OPCION, ACERO INOX</t>
  </si>
  <si>
    <t>KIT DE CIERRAPUERTAS DE PISO HIDRÁULICO DORMA BTS75R CON HERRAJES OPCION, ACERO INOX</t>
  </si>
  <si>
    <t>KIT DE CIERRAPUERTAS DE PISO HIDRÁULICO GEZE TS 500 N EN3 CON HERRAJES OPCION, ACERO INOX (100KG, 10</t>
  </si>
  <si>
    <t>KIT DE CIERRAPUERTAS DE PISO HIDRÁULICO GEZE TS 500 NV CON HERRAJES OPCION, ACERO INOX (150KG, 1100M</t>
  </si>
  <si>
    <t>KIT DE CIERRAPUERTAS DE PISO HIDRÁULICO Y HERRAJES OPCION, ACERO INOX (100KG/900MM)</t>
  </si>
  <si>
    <t>KIT DE CIERRAPUERTAS DE PISO HIDRÁULICO Y HERRAJES OPCION, NEGRO (100KG/900MM)</t>
  </si>
  <si>
    <t>KIT DE CIERRAPUERTAS DE PISO HIDRÁULICO Y HERRAJES OPCION, ACERO INOX (120KG/1100MM)</t>
  </si>
  <si>
    <t>KIT DE CIERRAPUERTAS DE PISO HIDRÁULICO Y HERRAJES OPCION, NEGRO (120KG/1100MM)</t>
  </si>
  <si>
    <t>PIVOTE TAQUETE ACERO INOX.304</t>
  </si>
  <si>
    <t>HERRAJE SUPERIOR, ACERO INOX 304</t>
  </si>
  <si>
    <t>HERRAJE SUPERIOR CON TAPAS, ACERO INOX 304</t>
  </si>
  <si>
    <t>HERRAJE SUPERIOR CON TAPAS, AC. INOX 304 NEGRO MATE</t>
  </si>
  <si>
    <t>HERRAJE INFERIOR. ACERO INOX. 304</t>
  </si>
  <si>
    <t>HERRAJE INFERIOR CON TAPAS. ACERO INOX. 304</t>
  </si>
  <si>
    <t>HERRAJE INFERIOR CON TAPAS. AC. INOX. 304 NEGRO MATE</t>
  </si>
  <si>
    <t>HERRAJE SUPERIOR ANTEPECHO AC. INOX.</t>
  </si>
  <si>
    <t>HERRAJE SUPERIOR ANTEPECHO AC. INOX. CON TAPAS</t>
  </si>
  <si>
    <t>HERRAJE SUPERIOR ANTEPECHO Y FIJO AC.INO</t>
  </si>
  <si>
    <t>HERRAJE SUPERIOR ANTEPECHO Y FIJO AC. INOX. CON TAPAS</t>
  </si>
  <si>
    <t>HERRAJE L PARA FIJOAC. INOX. 304</t>
  </si>
  <si>
    <t>HERRAJE L PARA FIJO AC. INOX. CON TAPAS</t>
  </si>
  <si>
    <t>KIT ELITE  SISTEMA ABATIBLE 01</t>
  </si>
  <si>
    <t>KIT ELITE  SISTEMA ABATIBLE 02</t>
  </si>
  <si>
    <t>KIT ELITE  SISTEMA ABATIBLE 03-1</t>
  </si>
  <si>
    <t>KIT ELITE  SISTEMA ABATIBLE 03-2</t>
  </si>
  <si>
    <t>KIT ELITE  SISTEMA ABATIBLE 01 CON TAPAS</t>
  </si>
  <si>
    <t>KIT ELITE  SISTEMA ABATIBLE 02 CON TAPAS</t>
  </si>
  <si>
    <t>KIT ELITE  SISTEMA ABATIBLE 03-1 CON TAPAS</t>
  </si>
  <si>
    <t>KIT ELITE  SISTEMA ABATIBLE 03-2 CON TAPAS</t>
  </si>
  <si>
    <t>BISAGRA A MURO-CRISTAL CON ANGULO DE APERTURA 0º - 90º ACERO INOXIDABLE</t>
  </si>
  <si>
    <t>TOPE DE PUERTA ACERO INOXIDABLE</t>
  </si>
  <si>
    <t>KIT DE HERRAJES GEZE LEVOLAN 60 PARA INSTALACION A MURO</t>
  </si>
  <si>
    <t>RIEL PARA SUJETAR EN TECHO O PARED GEZE LEVOLAN, ALUMINIO NATURAL MATE, TRAMO CORTE X METRO</t>
  </si>
  <si>
    <t>PERFIL TAPA FRONTAL PARA RIEL GEZE LEVOLAN, ALUMINIO NATURAL MATE, TRAMO CORTE X METRO</t>
  </si>
  <si>
    <t>KIT DE HERRAJES GEZE LEVOLAN 60 PARA INSTALACION A TECHO</t>
  </si>
  <si>
    <t>PERFIL TAPA TRASERO PARA RIEL GEZE LEVOLAN, ALUMINIO NATURAL MATE, TRAMO CORTE X METRO</t>
  </si>
  <si>
    <t>KIT DE HERRAJES GEZE LEVOLAN 60 PARA INSTALACION CON PANEL FIJO</t>
  </si>
  <si>
    <t>PERFIL PARA PANEL FIJO O P/FIJACION A CRISTAL GEZE LEVOLAN, ALUMINIO NAT MATE, TRAMO CORTE X METRO</t>
  </si>
  <si>
    <t>PERFIL PARA CUBIERTA DE PANEL FIJO GEZE LEVOLAN, ALUMINIO NATURAL MATE, TRAMO CORTE X METRO</t>
  </si>
  <si>
    <t>GOMA (SELLO) PARA CRISTAL CON PERFIL PARA PANEL FIJO GEZE (PARA 8/10/12MM) X MT</t>
  </si>
  <si>
    <t>KIT DE HERRAJES GEZE LEVOLAN 60 PARA INSTALACION A ANTEPECHO DE CRISTAL</t>
  </si>
  <si>
    <t>KIT DE HERRAJES GEZE LEVOLAN 120 PARA INSTALACION A MURO</t>
  </si>
  <si>
    <t>KIT DE HERRAJES GEZE LEVOLAN 120 PARA INSTALACION A TECHO</t>
  </si>
  <si>
    <t>KIT DE HERRAJES GEZE LEVOLAN 120 PARA INSTALACION CON PANEL FIJO</t>
  </si>
  <si>
    <t>KIT DE HERRAJES GEZE LEVOLAN 120 PARA INSTALACION A ANTEPECHO DE CRISTAL</t>
  </si>
  <si>
    <t>SET DE AMORTIGUACION SOFT-STOP (1 LADO IZQUIERDO) GEZE LEVOLAN 60 (MIN. HOJA 570MM)</t>
  </si>
  <si>
    <t>SET DE AMORTIGUACION SOFT-STOP (1 LADO DERECHO) GEZE LEVOLAN 60 (MIN. HOJA 570MM)</t>
  </si>
  <si>
    <t>SET DE AMORTIGUACION SOFT-STOP DUO (2 LADOS) GEZE LEVOLAN 60 (MIN. HOJA 770MM)</t>
  </si>
  <si>
    <t>SET DE AMORTIGUACION SOFT-STOP (1 LADO IZQUIERDO) GEZE LEVOLAN 120 (MIN. HOJA 900MM/2 LADOS 1325MM)</t>
  </si>
  <si>
    <t>SET DE AMORTIGUACION SOFT-STOP (1 LADO DERECHO) GEZE LEVOLAN 120 (MIN. HOJA 900MM//2 LADOS 1325MM)</t>
  </si>
  <si>
    <t>PERFIL DE SUJECIÓN DE MADERA DE 1.5 M</t>
  </si>
  <si>
    <t>GUÍA DE PISO PARA PUERTA DE MADERA</t>
  </si>
  <si>
    <t>SET DE ACCESORIOS PARA RS 120</t>
  </si>
  <si>
    <t>RIEL PARA RS-120 TRAMO CORTE SIN ACABADO X METRO</t>
  </si>
  <si>
    <t>RIEL PARA RS-120 TRAMO CORTE NATURAL MATE X METRO</t>
  </si>
  <si>
    <t>TAPA PARA RS-120 TRAMO CORTE NATURAL MATE X METRO</t>
  </si>
  <si>
    <t>PERFIL PARA FIJO RS-120 TRAMO CORTE NATURAL MATE X METRO</t>
  </si>
  <si>
    <t>GUÍA DE PISO PARA RS</t>
  </si>
  <si>
    <t>CARRETILLA PARA RS CORREDIZO</t>
  </si>
  <si>
    <t>CARRETILLA ACERO INOX. P/ TUBO DE 1" DIAMT.</t>
  </si>
  <si>
    <t>CARRETILLA ACERO INOX. CON TAPAS P/TUBO DE 1" DIAM.</t>
  </si>
  <si>
    <t>CONECTOR CRISTAL CRISTAL AC.INOX P/TUBO</t>
  </si>
  <si>
    <t>CONECTOR CRISTAL CRISTAL CON TAPA AC. INOX P/TUBO</t>
  </si>
  <si>
    <t>SOPORTE PARA TUBO A MURO 1"</t>
  </si>
  <si>
    <t>TOPE IZQUIERDO  AC. INOX. 304 P/TUBO DIAM. 1"</t>
  </si>
  <si>
    <t>TOPE DERECHO  AC. INOX. 304 P/ TUBO DIAM.1"</t>
  </si>
  <si>
    <t>GUIA DE PISO DE ACERO INOX 304</t>
  </si>
  <si>
    <t>CONECTOR FINAL A MURO AC.INOX 304 1" TUBO</t>
  </si>
  <si>
    <t>JALADERA PLANA REDONDA PARA CANCEL CORREDIZO ACERO INOX.</t>
  </si>
  <si>
    <t>JALADERA PLANA REDONDA HUECA</t>
  </si>
  <si>
    <t>TAPA PARA TUBO DE 1" DIAM. ACERO</t>
  </si>
  <si>
    <t>TUBO DE 1" CAL. 16 LÍNEA ELITE, ACERO INOX 304 SATINADO, TRAMO CORTE</t>
  </si>
  <si>
    <t>KIT ELITE  SISTEMA CORREDIZO PARA MURO 3MTS</t>
  </si>
  <si>
    <t>KIT ELITE  SISTEMA CORREDIZO PARA MURO-CRISTAL 3MTS</t>
  </si>
  <si>
    <t>KIT ELITE  SISTEMA CORREDIZO PARA CRISTAL-CRISTAL 3MTS</t>
  </si>
  <si>
    <t>KIT ELITE  SISTEMA CORREDIZO C/TAPAS PARA MURO 3MTS</t>
  </si>
  <si>
    <t>KIT ELITE  SISTEMA CORREDIZO C/TAPAS PARA MURO-CRISTAL 3MTS</t>
  </si>
  <si>
    <t>KIT ELITE  SISTEMA CORREDIZO C/TAPAS PARA CRISTAL-CRISTAL 3MTS</t>
  </si>
  <si>
    <t>KIT CANCEL CORREDIZO ELITE A PISO, 2 MTS</t>
  </si>
  <si>
    <t>KIT CANCEL CORREDIZO ELITE A PISO, 3 MTS</t>
  </si>
  <si>
    <t>CARRETILLA DE PISO</t>
  </si>
  <si>
    <t>HERRAJE SUPERIOR GUIA CON BALERO</t>
  </si>
  <si>
    <t>TOPE INTERIOR</t>
  </si>
  <si>
    <t>TAPA LATERAL DE RIEL</t>
  </si>
  <si>
    <t>GUIA DE PISO MEDIA LUNA, 2 MTS, ACERO INOXIDABLE</t>
  </si>
  <si>
    <t>GUIA DE PISO MEDIA LUNA, 3 MTS, ACERO INOXIDABLE</t>
  </si>
  <si>
    <t>RIEL SUPERIOR ELITE CORREDIZO, 2 MTS, RIEL DE ALUMINIO Y TAPA DE ACERO INOX</t>
  </si>
  <si>
    <t>RIEL SUPERIOR ELITE CORREDIZO, 3 MTS, RIEL DE ALUMINIO Y TAPA DE ACERO INOX</t>
  </si>
  <si>
    <t>JALADERA PLANA P/PTA. CORRED ALUMINIO NATURAL</t>
  </si>
  <si>
    <t>CONEC. T / PIPA M/C 304 ACERO INOX</t>
  </si>
  <si>
    <t>CONECTOR T/PIPA C/TAPA M-C AC. INOX. 304</t>
  </si>
  <si>
    <t>CONECTOR ELITE TIPO PIPA DE 1 PIEZA CONICO M-C, ACERO 304</t>
  </si>
  <si>
    <t>CONECTOR ELITE TIPO PIPA DE 1 PIEZA CON TAPA M-C, ACERO 304</t>
  </si>
  <si>
    <t>CONECTOR ELITE TIPO PIPA 1 PIEZA C/TAPA M-C, ACERO 304 NEGRO MATE</t>
  </si>
  <si>
    <t>CONEC. T/PIPA DOBLE C-C PARA COSTILLA AC. INOX 304 SATINADO</t>
  </si>
  <si>
    <t>CONEC. T/PIPA DOBLE C-C PARA COSTILLA CON TAPAS AC. INOX 304 SATINADO</t>
  </si>
  <si>
    <t>CONECTOR TIPO PIPA 90º CRISTAL-CRISTAL ACERO INOX 304</t>
  </si>
  <si>
    <t>CONECTOR TIPO PIPA 90º CRISTAL-CRISTAL CON TAPAS ACERO INOX 304</t>
  </si>
  <si>
    <t>CONECTOR TIPO PIPA 180º MURO CRISTAL  304 ACERO INOXIDABLE</t>
  </si>
  <si>
    <t>CONECTOR TIPO PIPA 180º MURO CRISTAL CON TAPA ACERO INOX 304</t>
  </si>
  <si>
    <t>CONECTOR TIPO PIPA M/C AJUSTABLE DE 61.5 A 76.5 MM, ACERO INOX</t>
  </si>
  <si>
    <t>CONECTOR TIPO PIPA M/C AJUSTABLE DE 61.5 A 76.5 MM, CON TAPA, ACERO INOX</t>
  </si>
  <si>
    <t>CONECTOR MURO CRISTAL ARTICULADO 75MM. AC. INOX</t>
  </si>
  <si>
    <t>CONECTOR MURO CRISTAL ARTICULADO 75MM AC. INOX C/TAPA</t>
  </si>
  <si>
    <t>CONECTOR CRISTAL CRISTAL ARTICULADO 60MM. AC. INOX</t>
  </si>
  <si>
    <t>CONECTOR CRISTAL CRISTAL ARTICULADO 60MM. AC. INOX C/TAPA</t>
  </si>
  <si>
    <t>CONECTOR CRISTAL CRISTAL ARTICULADO 60MM DOBLE AC. INOX.</t>
  </si>
  <si>
    <t>CONECTOR CRISTAL CRISTAL ARTICULADO 60MM DOBLE C/TAPAS AC. INOX.</t>
  </si>
  <si>
    <t>CONECTOR FORTE P/MURO AC. INOX SATINADO</t>
  </si>
  <si>
    <t>CONECTOR FORTE P/TUBO AC. INOX SATINADO</t>
  </si>
  <si>
    <t>CONECTOR FORTE JUNIOR P/MURO AC. INOX SATINADO</t>
  </si>
  <si>
    <t>CONECTOR FORTE JUNIOR P/TUBO AC. INOX SATINADO</t>
  </si>
  <si>
    <t>CONECTOR FORTE MEDIA LUNA P/MURO ZAMAK 8-10MM SATINADO</t>
  </si>
  <si>
    <t>CONECTOR FORTE MEDIA LUNA P/TUBO ZAMAK 8-10MM SATINADO</t>
  </si>
  <si>
    <t>JUEGO DE ANGULOS TITAN C/TORNILLOS Y TAPAS ACABADO NATURAL MATE</t>
  </si>
  <si>
    <t>CERRADURA CON MANIJA Y CILINDRO TIPO EUROPEO, ACERO INOX SATINADO</t>
  </si>
  <si>
    <t>CONTRACERRADURA PARA CRISTAL DE CERRADURA CON MANIJA, ACERO INOX SATINADO</t>
  </si>
  <si>
    <t>CONTRACERRADURA PARA MURO CON TOPE, ACERO INOX SATINADO</t>
  </si>
  <si>
    <t>KIT STUDIO RONDO CHAPA, MANIJA, CILINDRO, DORMAKABA,  NATURAL MATE</t>
  </si>
  <si>
    <t>CONTRACHAPA CRISTAL CRISTAL  RONDO, NATURAL</t>
  </si>
  <si>
    <t>CONTRACHAPA STUDIO RONDO MURO CRISTAL NATURAL</t>
  </si>
  <si>
    <t>CERRADURA DE PISO ELITE ACERO INOX. SATINADO</t>
  </si>
  <si>
    <t>CERRADURA P/CRISTAL S/SAQUE, BRILLANTE</t>
  </si>
  <si>
    <t>CONTRACERRADURA P/CRISTAL S/SAQUE, BRILL</t>
  </si>
  <si>
    <t>CERRADURA P/CRISTAL S/SAQUE, SATINADO</t>
  </si>
  <si>
    <t>CONTRACERRADURA P/CRISTAL S/SAQUE, SATINADO</t>
  </si>
  <si>
    <t>PASADOR PARA CRISTAL SIN SAQUE</t>
  </si>
  <si>
    <t>CONTRA PASADOR A CRISTAL SIN SAQUE</t>
  </si>
  <si>
    <t>CERRADURA PARA CORREDIZO IZQUIERDO ACERO INOX. SATINADO</t>
  </si>
  <si>
    <t>CONTRACERRADURA CORREDIZO PARA CRISTAL IZQUIERDO ACERO INOX. SATINADO</t>
  </si>
  <si>
    <t>CERRADURA PARA CORREDIZO DERECHO ACERO INOX. SATINADO</t>
  </si>
  <si>
    <t>CONTRACERRADURA CORREDIZO PARA CRISTAL DERECHO ACERO INOX. SATINADO</t>
  </si>
  <si>
    <t>CERRADURA Y CONTRA P/CRISTAL SIN SAQUE CORREDIZA SATINADO</t>
  </si>
  <si>
    <t>CONTRACERRADURA P/CRISTAL S/SAQUE CORREDIZA SATINADO</t>
  </si>
  <si>
    <t>KIT DE CERRADURA ELECTRÓNICA NEGRO P/PUERTA DE 10-12MM (INCLUYE CONTRA Y CONTROL REMOTO)</t>
  </si>
  <si>
    <t>CONTROL REMOTO PARA CERRADURA ELECTRÓNICA (2 PIEZAS)</t>
  </si>
  <si>
    <t>SET DE CERRADURA ELECTRÓNICA PARA PUERTA DE 10-12MM (INCLUYE CONTRA) NEGRO</t>
  </si>
  <si>
    <t>JALADERA TIPO "H" 300MM.  DIAM . 25MM.  ACE. INOX.</t>
  </si>
  <si>
    <t>JALADERA TIPO "H" 450MM. DIAM. 25MM.  ACE. INOX.</t>
  </si>
  <si>
    <t>JALADERA TIPO "H" 450MM. DIAM. 25MM. AC. INOX. NEGRO MATE</t>
  </si>
  <si>
    <t>JALADERA TIPO "H" 450MM DIAM. 32MM.  ACE. INOX. SATINADO</t>
  </si>
  <si>
    <t>JALADERA TIPO "H" 750MM.  DIAM. 25MM . ACE. INOX.SATINADO</t>
  </si>
  <si>
    <t>JALADERA TIPO "H" 1000MM. DIAM. 25MM ACE. INOX.</t>
  </si>
  <si>
    <t>JALADERA TIPO "H" 1250MM. DIAM 25MM.ACE. INOX.</t>
  </si>
  <si>
    <t>JALADERA TIPO "H" 1250MM. DIAM 25MM. AC. INOX. NEGRO MATE</t>
  </si>
  <si>
    <t>JALADERA TIPO " H" 1500MM. DIAM. 25MM. ACE. INOX.</t>
  </si>
  <si>
    <t>JALADERA TIPO " H" 1500MM. DIAM. 25MM. AC. INOX. NEGRO MATE</t>
  </si>
  <si>
    <t>JALADERA CUADRADA 325MM. 25X25 MM. ACE. INOX.</t>
  </si>
  <si>
    <t>JALADERA CUADRADA 475MM. 25X25 MM. ACE. INOX.</t>
  </si>
  <si>
    <t>JALADERA CUADRADA 600MM. 25X25 MM. ACE. INOX.</t>
  </si>
  <si>
    <t>JALADERA CUADRADA 475MM. 50X25 MM. ACE. INOX.</t>
  </si>
  <si>
    <t>JALADERA CUADRADA 600MM. 50X25 MM. ACE. INOX.</t>
  </si>
  <si>
    <t>JALADERA TIPO "H" CON CERR. 1230MM A. INOX 304 SAT</t>
  </si>
  <si>
    <t>JALADERA TIPO "H" CON CERR. 1500MM DIAM 35 MM A.INOX 304 SAT</t>
  </si>
  <si>
    <t>JALADERA TIPO "H" CON CERR. CUADRADA 1237MM. 38X25 MM. ACE. INOX.</t>
  </si>
  <si>
    <t>JALADERA TIPO "H" CON CERR. CUADRADA 1500MM. 38X25 MM. ACE. INOX.</t>
  </si>
  <si>
    <t>OL90 GUARNICIÓN BASE ALUMINIO ANODIZADO MATE</t>
  </si>
  <si>
    <t>OL90 GUARNICIÓN BASE COLOR NEGRO</t>
  </si>
  <si>
    <t>OL90 GUARNICIÓN BASE COLOR BLANCO</t>
  </si>
  <si>
    <t>OL90 COMPAS APERTURA EXTERIOR 0-30 DER MATE</t>
  </si>
  <si>
    <t>OL90 COMPAS APERTURA EXTERIOR 0-30 DER NEGRO</t>
  </si>
  <si>
    <t>OL90 COMPAS APERTURA EXTERIOR 0-30 DER BLANCO</t>
  </si>
  <si>
    <t>OL90 COMPAS APERTURA INTERIOR 0-30 MATE</t>
  </si>
  <si>
    <t>OL90 COMPAS APERTURA INTERIOR 0-30 NEGRO</t>
  </si>
  <si>
    <t>OL90 COMPAS APERTURA INTERIOR 0-30 BLANCO</t>
  </si>
  <si>
    <t>OL90 GRAPAS MANDO (BOLSA DE 10 PIEZAS)</t>
  </si>
  <si>
    <t>OL90 TRANSMISIÓN ENTRE MONTAJE HOR/VER 150 MM</t>
  </si>
  <si>
    <t>OL90 COBERTOR DE ALUMINIO, MATE, TRAMO CORTE X METRO</t>
  </si>
  <si>
    <t>OL90 COBERTOR DE ALUMINIO, NEGRO, TRAMO CORTE X METRO</t>
  </si>
  <si>
    <t>OL90 COBERTOR DE ALUMINIO, BLANCO, TRAMO CORTE X METRO</t>
  </si>
  <si>
    <t>OL90 VARILLA DE 5/16" GALVANIZADA, TRAMO CORTE X METRO</t>
  </si>
  <si>
    <t>TRANSFORMADOR DE CORRIENTE PL24100 ENTRADA 110 VAC. SALIDA 24 VDC (ALIMENTACION NT 6.25A)</t>
  </si>
  <si>
    <t>DISTRIBUIDOR DE SEÑALES IQ GEAR PARA SINCRONIZACIÓN O CONTROL</t>
  </si>
  <si>
    <t>ECCHAIN. MOTOR DE CADENA P/AUTOMATIZACIÓN DE VENTILACION. FUERZA 200 KILOS, CADENA 200MM. 230 VAC</t>
  </si>
  <si>
    <t>PULSADOR PARA ECCHAIN LTA-230 (AS500) 230 VAC</t>
  </si>
  <si>
    <t>SLIMCHAIN. MOTOR DE CADENA P/AUTOMATIZACIÓN DE VENTILACION. FUERZA 200 KILOS, CADENA 200MM. 24 VDC</t>
  </si>
  <si>
    <t>PULSADOR PARA SLIMCHAIN AS-500 SELECTOR 24VDC</t>
  </si>
  <si>
    <t>CONSOLA SLIMCHAIN PROYECCIÓN INTERIOR COLOR NEGRO</t>
  </si>
  <si>
    <t>CONSOLA SLIMCHAIN PROYECCIÓN EXTERIOR COLOR NEGRO</t>
  </si>
  <si>
    <t>PUERTAS AUTOMATICAS GEZE, LAS MAS ESBELTAS DEL MERCADO. ENTREGA INMEDIATA MODELO EC DRIVE T2. FABRIC</t>
  </si>
  <si>
    <t>SISTEMA DORMA ES 68 (OPERADOR PARA PUERTA AUTOMÁTICA CORREDIZA) RIELES 5 METROS</t>
  </si>
  <si>
    <t>HERRAJE ELITE PARA COLOCACION PANEL DE CRISTAL PARA SISTEMA AUTOMÁTICO DORMA ES 68, ACERO INOX 304</t>
  </si>
  <si>
    <t>BARANDAL TIPO ELÍPTICO, ACERO INOXIDABLE 304</t>
  </si>
  <si>
    <t>BARANDAL TIPO ELÍPTICO SIMPLE AC. INOXIDABLE 304</t>
  </si>
  <si>
    <t>BARANDAL TIPO SOLERA  ACERO INOXIDABLE 304</t>
  </si>
  <si>
    <t>BARANDAL TIPO SOLERA SIMPLE  ACERO INOXIDABLE 304</t>
  </si>
  <si>
    <t>BARANDAL TIPO POSTE  TRIANGULAR ACERO INOXIDABLE 304</t>
  </si>
  <si>
    <t>BARANDAL TIPO POSTE TRIANGULAR SIMPLE ACERO INOX. 304</t>
  </si>
  <si>
    <t>BARANDAL TIPO POSTE  REDONDO DE L= 1.05MTS, DE 2" CON 4 CONECTORES FORTE ACERO INOXIDABLE</t>
  </si>
  <si>
    <t>BARANDAL TIPO POSTE  REDONDO DE L= 1.05MTS, DE 2" CON 2 CONECTORES FORTE ACERO INOXIDABLE</t>
  </si>
  <si>
    <t>BARANDAL TIPO POSTE  REDONDO DE L= 1.05MTS, DE 2"  ACERO INOXIDABLE</t>
  </si>
  <si>
    <t>BARANDAL TIPO POSTE  REDONDO DE 2" CON 4 CONECTORES A 90° ACERO INOXIDABLE</t>
  </si>
  <si>
    <t>BARANDAL TIPO POSTE REDONDO DE L=1.05MTS DE 2" ACERO INOX, C/4 CONECTORES MEDIA LUNA ZAMAK</t>
  </si>
  <si>
    <t>BARANDAL TIPO POSTE REDONDO DE L=1.05MTS DE 2" ACERO INOX, C/2 CONECTORES MEDIA LUNA ZAMAK</t>
  </si>
  <si>
    <t>BARANDAL TIPO POSTE PARA BARRA 12MM ACERO INOX. 304</t>
  </si>
  <si>
    <t>MINIPOSTE ELITE DE 250MM AC. INOX. 304 CON BRIDA</t>
  </si>
  <si>
    <t>MINIPOSTE ELITE DE 250MM AC. INOX. 304 CON BRIDA NEGRO MATE</t>
  </si>
  <si>
    <t>MINIPOSTE ELITE DE 250MM AC. INOX. 304 SIN BRIDA</t>
  </si>
  <si>
    <t>SOPORTE PARA BARANDAL DE CRISTAL SIN SAQUE AC. INOXIDABLE 316 SATINADO</t>
  </si>
  <si>
    <t>SOPORTE PARA BARANDAL DE CRISTAL SIN SAQUE AC. INOX. 316 NEGRO MATE</t>
  </si>
  <si>
    <t>SOPORTE ESCUADRA P/BARANDAL 1/2" PARA TUBO DE 2" AC INOX 304</t>
  </si>
  <si>
    <t>SOPORTE ESCUADRA P/BARANDAL 1/2" PARA TUBO DE 2" AC INOX 304 NEGRO MATE</t>
  </si>
  <si>
    <t>SOPORTE ESCUADRA PARA MURO 1/2", P/BARANDAL TUBO DE 2",  AC INOX 304</t>
  </si>
  <si>
    <t>SOPORTE ESCUADRA PARA CRISTAL, AJUSTABLE P/BARANDAL TUBO DE 2" AC INOX 304</t>
  </si>
  <si>
    <t>SOPORTE ESCUADRA PARA MURO, AJUSTABLE P/BARANDAL TUBO DE 2" AC INOX 304</t>
  </si>
  <si>
    <t>SOPORTE ESCUADRA P/BARANDAL 60X60MM P/TUBO DE 2" AC INOX 304</t>
  </si>
  <si>
    <t>SEPARADOR DE 38MM PARA CRISTAL 10-12MM, PARA TORNILLO DE 3/8", ACERO INOX</t>
  </si>
  <si>
    <t>SEPARADOR DE 12MM PARA CRISTAL DE 10-12MM</t>
  </si>
  <si>
    <t>SEPARADOR DE 12MM PARA CRISTAL DE 10-12MM NEGRO MATE</t>
  </si>
  <si>
    <t>SEPARADOR  AJUSTABLE ACERO INOXIDABLE SATINADO</t>
  </si>
  <si>
    <t>CONECTOR C-C 180° SIN SAQUE (CRISTAL 9.5 MM), ACERO INOX 304</t>
  </si>
  <si>
    <t>CONECTOR C-C 180° SIN SAQUE (CRISTAL 9.5 MM), ACERO INOX 304 NEGRO MATE</t>
  </si>
  <si>
    <t>CONECTOR C-C 180° SIN SAQUE (CRISTAL 12 MM), ACERO INOX 304</t>
  </si>
  <si>
    <t>CONECTOR C-C 180° SIN SAQUE (CRISTAL 12 MM), AC. INOX 304 NEGRO MATE</t>
  </si>
  <si>
    <t>CONECTOR C-C 90° SIN SAQUE (CRISTAL 9.5 MM), ACERO INOX 304</t>
  </si>
  <si>
    <t>CONECTOR C-C 90° SIN SAQUE (CRISTAL 12 MM), ACERO INOX 304</t>
  </si>
  <si>
    <t>TUBO DE 1/2" CAL. 18, LÍNEA ELITE, ACERO INOX 304 SATINADO, TRAMO CORTE</t>
  </si>
  <si>
    <t>TUBO DE 1/2" CAL.18 LÍNEA ELITE, ACERO INOX 304 SATINADO, TRAMO DE 6.10 METROS</t>
  </si>
  <si>
    <t>TUBO DE 2" CAL. 18 LÍNEA ELITE, ACERO INOX 304 SATINADO, TRAMO CORTE, METROS</t>
  </si>
  <si>
    <t>TUBO DE 2" CAL.18 LÍNEA ELITE, ACERO INOX 304 SATINADO, TRAMO DE 6.10 METROS</t>
  </si>
  <si>
    <t>TUBO DE 2" CAL. 18 LÍNEA ELITE, ACERO INOX 304 BRILLANTE, TRAMO CORTE, METROS</t>
  </si>
  <si>
    <t>TUBO DE 2" CAL.18 LÍNEA ELITE, ACERO INOX 304 BRILLANTE, TRAMO DE 6.10 METROS</t>
  </si>
  <si>
    <t>TUBO DE 2" CAL. 16 LÍNEA ELITE, ACERO INOX 304 SATINADO, TRAMO CORTE, METROS</t>
  </si>
  <si>
    <t>CODO 90° PARA TUBO DE ACERO 2"</t>
  </si>
  <si>
    <t>CODO 90° BOLEADO PARA TUBO DE ACERO 2"</t>
  </si>
  <si>
    <t>CODO 135° PARA TUBO DE ACERO 2"</t>
  </si>
  <si>
    <t>CODO ARTICULADO AC. INOX. 304 PARA TUBO DE 2"</t>
  </si>
  <si>
    <t>COPLE 180° PARA TUBO DE ACERO 2"</t>
  </si>
  <si>
    <t>COPLE 180° PARA TUBO DE ACERO 2"  CON ARILLO</t>
  </si>
  <si>
    <t>BRIDA A MURO AC. INOX. 304 PARA TUBO DE 2"</t>
  </si>
  <si>
    <t>TAPA PARA BASE DE BARANDAL DE POSTE REDONDO DE 2" AC. INOX. 304</t>
  </si>
  <si>
    <t>SOPORTE RECTO ARTICULADO PARA TUBO DE 2" AC. INOX. 304</t>
  </si>
  <si>
    <t>TAPA PARA TUBO DE 1/2" DIAM. ACERO</t>
  </si>
  <si>
    <t>TAPA PARA TUBO DE 2" DIAM. CALIBRE 18, ACERO INOX. 304, SATINADO</t>
  </si>
  <si>
    <t>TAPA PARA TUBO DE 2" DIAM. CALIBRE 18, ACERO INOX. 304, BRILLANTE</t>
  </si>
  <si>
    <t>TAPA PARA TUBO DE 2" DIAM. CALIBRE 16, ACERO INOX. 304</t>
  </si>
  <si>
    <t>KIT CANCEL PLEGABLE VISTA 2 PANELES, ACERO INOXIDABLE SATINADO</t>
  </si>
  <si>
    <t>KIT CANCEL PLEGABLE VISTA 3 PANELES, ACERO INOXIDABLE SATINADO</t>
  </si>
  <si>
    <t>KIT CANCEL PLEGABLE VISTA 4 PANELES, ACERO INOXIDABLE SATINADO</t>
  </si>
  <si>
    <t>KIT CANCEL PLEGABLE VISTA 5 PANELES, ACERO INOXIDABLE SATINADO</t>
  </si>
  <si>
    <t>KIT CANCEL PLEGABLE VISTA 6 PANELES, ACERO INOXIDABLE SATINADO</t>
  </si>
  <si>
    <t>CERRADURA PARA CANCEL PLEGABLE CON HERRAJES ACERO INOX</t>
  </si>
  <si>
    <t>CONTRA CERRADURA PARA CRISTAL PARA CANCEL PLEGABLE CON HERRAJES ACERO INOX</t>
  </si>
  <si>
    <t>RIEL PARA CANCEL PLEGABLE VISTA, ALUMINIO MATE TRAMO CORTE X METRO</t>
  </si>
  <si>
    <t>GUIA DE PISO PARA CANCEL PLEGABLE VISTA, ALUMINIO MATE TRAMO CORTE X METRO</t>
  </si>
  <si>
    <t>KIT CANCEL PLEGABLE SPAZIO CENTRAL 2 NATURAL MATE</t>
  </si>
  <si>
    <t>KIT CANCEL PLEGABLE SPAZIO CENTRAL 2+1 NATURAL MATE</t>
  </si>
  <si>
    <t>KIT CANCEL PLEGABLE SPAZIO CENTRAL 3 NATURAL MATE</t>
  </si>
  <si>
    <t>KIT CANCEL PLEGABLE SPAZIO CENTRAL 3+1 NATURAL MATE</t>
  </si>
  <si>
    <t>KIT CANCEL PLEGABLE SPAZIO CENTRAL 4 NATURAL MATE</t>
  </si>
  <si>
    <t>KIT CANCEL PLEGABLE SPAZIO CENTRAL 4+1 NATURAL MATE</t>
  </si>
  <si>
    <t>KIT CANCEL PLEGABLE SPAZIO CENTRAL 5 NATURAL MATE</t>
  </si>
  <si>
    <t>KIT CANCEL PLEGABLE SPAZIO CENTRAL 5+1 NATURAL MATE</t>
  </si>
  <si>
    <t>KIT CANCEL PLEGABLE SPAZIO CENTRAL 6 NATURAL MATE</t>
  </si>
  <si>
    <t>KIT CANCEL PLEGABLE SPAZIO CENTRAL 6+1 NATURAL MATE</t>
  </si>
  <si>
    <t>RIEL PARA SISTEMA SPAZIO ALUMINIO TRAMO CORTE X METRO NATURAL MATE</t>
  </si>
  <si>
    <t>KIT CANCEL PLEGABLE SPAZIO LATERAL 2 NATURAL MATE</t>
  </si>
  <si>
    <t>KIT CANCEL PLEGABLE SPAZIO LATERAL 2+1 NATURAL MATE</t>
  </si>
  <si>
    <t>KIT CANCEL PLEGABLE SPAZIO LATERAL 4 NATURAL MATE</t>
  </si>
  <si>
    <t>KIT CANCEL PLEGABLE SPAZIO LATERAL 4+1 NATURAL MATE</t>
  </si>
  <si>
    <t>KIT CANCEL PLEGABLE SPAZIO LATERAL 6 NATURAL MATE</t>
  </si>
  <si>
    <t>KIT CANCEL PLEGABLE SPAZIO LATERAL 6+1 NATURAL MATE</t>
  </si>
  <si>
    <t>KIT CANCEL PLEGABLE SPAZIO LATERAL 3 (CON PUERTA PIVOTANTE), NATURAL MATE</t>
  </si>
  <si>
    <t>KIT CANCEL PLEGABLE SPAZIO LATERAL 5 (CON PUERTA PIVOTANTE), NATURAL MATE</t>
  </si>
  <si>
    <t>KIT CANCEL PLEGABLE SPAZIO LATERAL 7 (CON PUERTA PIVOTANTE), NATURAL MATE</t>
  </si>
  <si>
    <t>GUÍA INFERIOR PARA SISTEMA SPAZIO LATERAL TRAMO CORTE X METRO NATURAL MATE</t>
  </si>
  <si>
    <t>PANEL ABATIBLE CON CHAPA</t>
  </si>
  <si>
    <t>PRIMER PANEL DESLIZABLE CON PASADOR</t>
  </si>
  <si>
    <t>PANEL INTERMEDIO DELIZABLE</t>
  </si>
  <si>
    <t>PANEL FINAL DELIZABLE</t>
  </si>
  <si>
    <t>PRIMER PANEL DESLIZABLE C/CERRADURA</t>
  </si>
  <si>
    <t>PANEL FINAL UNION CON PASADOR</t>
  </si>
  <si>
    <t>UNIDAD DE EST. 90º, IZQUIERDA, ALUM ANOD NATURAL</t>
  </si>
  <si>
    <t>UNIDAD DE EST. 90º, DERECHA, ALUM ANOD NATURAL</t>
  </si>
  <si>
    <t>UNIDAD DE EST. 45º, DERECHA, ALUM ANOD NATURAL</t>
  </si>
  <si>
    <t>UNIDAD DE EST. 45º, IZQUIERDA, ALUM ANOD NATURAL</t>
  </si>
  <si>
    <t>UNIDAD DE EST. 75º, DERECHA, ALUM ANOD NATURAL</t>
  </si>
  <si>
    <t>UNIDAD DE EST. 75º, IZQUIERDA, ALUM ANOD NATURAL</t>
  </si>
  <si>
    <t>RIEL PARA SISTEMA SPAZIO APILABLE, ALUMINIO NAT, TRAMO CORTE X METRO NAT MATE</t>
  </si>
  <si>
    <t>PLACAS DE CONEXION PARA RIEL (2 PCS) SPZ-A</t>
  </si>
  <si>
    <t>TAPA PARA RIEL SPZ-A</t>
  </si>
  <si>
    <t>SELLO PARA PUERTA PARA CRISTAL DE 10MM, METROS</t>
  </si>
  <si>
    <t>SELLO PARA PUERTA PARA CRISTAL DE 12MM, METROS</t>
  </si>
  <si>
    <t>ARAÑA 1 BRAZO 220, AC. INOX 304 SATINADO</t>
  </si>
  <si>
    <t>ARAÑA 2 BRAZOS 180° 220 AC. INOX.304 SATINADO</t>
  </si>
  <si>
    <t>ARAÑA 2 BRAZOS 220 AC. INOX. 304 SATINADO</t>
  </si>
  <si>
    <t>ARAÑA 3 BRAZOS 220 AC. INOX 304 SATINADO</t>
  </si>
  <si>
    <t>ARAÑA 4 BRAZOS 220 AC. INOX.304 SATINADO</t>
  </si>
  <si>
    <t>ARAÑA 1 BRAZO 220 AC. INOX. 316 BRILLANTE</t>
  </si>
  <si>
    <t>ARAÑA 2 BRAZOS 180° 220 AC. INOX 316 BRILLANTE</t>
  </si>
  <si>
    <t>ARAÑA 2 BRAZOS 220 AC. INOX. 316 BRILLANTE</t>
  </si>
  <si>
    <t>ARAÑA 3 BRAZOS 220 AC. INOX. 316 BRILLANTE</t>
  </si>
  <si>
    <t>ARAÑA 4 BRAZOS 220 AC. INOX. 316 BRILLANTE</t>
  </si>
  <si>
    <t>ROTULA CÓNICA 14MM ACERO  INOX. 304 SATINADO</t>
  </si>
  <si>
    <t>ROTULA C/TAPA 14MM. ACERO INOX. 304 SATINADO</t>
  </si>
  <si>
    <t>ROTULA CÓNICA 14MM. ACERO INOX.  316 BRILLANTE</t>
  </si>
  <si>
    <t>ROTULA C/TAPA 14MM. ACERO INOX. 316 BRILLANTE</t>
  </si>
  <si>
    <t>CONECTOR PARA ESTRUCTURA, HZ01L (Z15)</t>
  </si>
  <si>
    <t>KIT DE 2 ARAÑAS DE COSTILLA 1 BRAZO CENTRADA Y CONECTORES AC. INOX. 304</t>
  </si>
  <si>
    <t>KIT DE 2 ARAÑAS COSTILLA 1 BRAZO (IZQ/DER) Y CONECTORES AC. INOX. 304</t>
  </si>
  <si>
    <t>KIT DE 2 ARAÑAS COSTILLA 2 BRAZOS (IZQ/DER) Y CONECTORES AC. INOX. 304</t>
  </si>
  <si>
    <t>ARAÑA COSTI-PLAC.1 BZO. CENTRADA  AC. INOX .304  SATINADO</t>
  </si>
  <si>
    <t>ARAÑA COSTI-PLACA 1 BRAZO IZQ. AC.INOX. 304  SATINADO</t>
  </si>
  <si>
    <t>ARAÑA COSTI-PLACA 1 BRAZO DER. AC.INOX. 304  SATINADO</t>
  </si>
  <si>
    <t>ARAÑA COST-PLACA 2BRAZOS1 IZQUIERDA AC. INOX. 304 SATINADO</t>
  </si>
  <si>
    <t>ARAÑA COST-PLACA 2BRAZOS2 DERECHA, AC. INOX. 304 SATINADO</t>
  </si>
  <si>
    <t>ARAÑA COST-PLACA 1BRAZO  CENTRADA AC .INOX. 316 BRILLANTE</t>
  </si>
  <si>
    <t>ARAÑA COST-PLACA 1 BRAZO DER. AC INOX 316 BRILLANTE</t>
  </si>
  <si>
    <t>ARAÑA COST-PLACA 1 BRAZO IZQ. AC INOX 316 BRILLANTE</t>
  </si>
  <si>
    <t>ARAÑA COST-PLACA 2BRAZOS2 DERECHA AC. INOX. 316 BRILLANTE</t>
  </si>
  <si>
    <t>ARAÑA COSTI-PLACA 2BRAZOS1 IZQUIERDA AC. INOX. 316 BRILLANTE</t>
  </si>
  <si>
    <t>EMPAQUE DE NO ASBESTO PARA ARAÑA DE 1 Y 2 BRAZOS COSTILLA/PLACA</t>
  </si>
  <si>
    <t>CONECTOR DE AC.INOX. P/COSTILLA DE ARAÑA</t>
  </si>
  <si>
    <t>EMPAQUE DE NO ASBESTO PARA ARAÑA DE 1 BRAZO CENTRADA COSTILLA/PLACA</t>
  </si>
  <si>
    <t>TORNILLO 26MM X 9/16 CON CASQUILLO, PARA COSTILLA DE 12MM ACERO INOXIDABLE</t>
  </si>
  <si>
    <t>TORNILLO 32MM X 9/16 CON CASQUILLO, PARA COSTILLA DE 19MM ACERO INOXIDABLE</t>
  </si>
  <si>
    <t>PLACA DE EXTENSIÓN DE 150MM X 175 MM X 1/4" C/4 BARRENOS ALUMINIO ANODIZADO NATURAL MATE</t>
  </si>
  <si>
    <t>PLACA DE EXTENSIÓN DE 200MM X 170MM X 1/4" C/4 BARRENOS ALUMINIO ANODIZADO NATURAL MATE</t>
  </si>
  <si>
    <t>PLACA DE EXTENSIÓN DE 250MM X 175MM X 1/4" C/4 BARRENOS ALUMINIO ANODIZADO NATURAL MATE</t>
  </si>
  <si>
    <t>PLACA DE EXTENSIÓN DE 300MM X 170MM X 1/4" C/6 BARRENOS ALUMINIO ANODIZADO NATURAL MATE</t>
  </si>
  <si>
    <t>PLACA DE EXTENSIÓN DE 350MM X 170MM X 1/4" C/6 BARRENOS ALUMINIO ANODIZADO NATURAL MATE</t>
  </si>
  <si>
    <t>PLACA DE EXTENSIÓN DE 400MM X 170MM X 1/4" C/6 BARRENOS ALUMINIO ANODIZADO NATURAL MATE</t>
  </si>
  <si>
    <t>EMPAQUE DE NO ASBESTO PARA PLACAS DE COSTILLA DE 150 X 170 MM</t>
  </si>
  <si>
    <t>EMPAQUE DE NO ASBESTO PARA PLACAS DE COSTILLA DE 200 X 170 MM</t>
  </si>
  <si>
    <t>EMPAQUE DE NO ASBESTO PARA PLACAS DE COSTILLA DE 250 X 170 MM</t>
  </si>
  <si>
    <t>EMPAQUE DE NO ASBESTO PARA PLACAS DE COSTILLA DE 300 X 170 MM</t>
  </si>
  <si>
    <t>EMPAQUE DE NO ASBESTO PARA PLACAS DE COSTILLA DE 350 X 170 MM</t>
  </si>
  <si>
    <t>EMPAQUE DE NO ASBESTO PARA PLACAS DE COSTILLA DE 400 X 170 MM</t>
  </si>
  <si>
    <t>ANGULO DE ALUMINIO 1/4" DE 3"X2"X200MM C/2 BARRENOS ANODIZADO NATURAL MATE</t>
  </si>
  <si>
    <t>ANGULO DE ALUMINIO 1/4" DE 3"X2"X250MM C/2 BARRENOS ANODIZADO NATURAL MATE</t>
  </si>
  <si>
    <t>ANGULO DE ALUMINIO 1/4" DE 3"X2"X300MM C/3 BARRENOS ANODIZADO NATURAL MATE</t>
  </si>
  <si>
    <t>ANGULO DE ALUMINIO 1/4" DE 3"X2"X350MM C/3 BARRENOS ANODIZADO NATURAL MATE</t>
  </si>
  <si>
    <t>ANGULO DE ALUMINIO 1/4" DE 3"X2"X400MM C/3 BARRENOS ANODIZADO NATURAL MATE</t>
  </si>
  <si>
    <t>EMPAQUE DE NO ASBESTO PARA ANGULO DE COSTILLA DE 200 MM</t>
  </si>
  <si>
    <t>EMPAQUE DE NO ASBESTO PARA ANGULO DE COSTILLA DE 250 MM</t>
  </si>
  <si>
    <t>EMPAQUE DE NO ASBESTO PARA ANGULO DE COSTILLA DE 300 MM</t>
  </si>
  <si>
    <t>EMPAQUE DE NO ASBESTO PARA ANGULO DE COSTILLA DE 350 MM</t>
  </si>
  <si>
    <t>EMPAQUE DE NO ASBESTO PARA ANGULO DE COSTILLA DE 400 MM</t>
  </si>
  <si>
    <t>EMPAQUE DE NO ASBESTO PARA ANGULO DE COSTILLA DE 450 MM</t>
  </si>
  <si>
    <t>BASE ANCLA COMPLETA DE AC. INOX</t>
  </si>
  <si>
    <t>BASE ANCLA SENCILLA DE ACERO INOX</t>
  </si>
  <si>
    <t>CONECTOR DOBLE DE 2" P/TENSOR ACERO INOX. 304</t>
  </si>
  <si>
    <t>CONECTOR CUADRUPLE DE 2" P/TENSOR ACERO INOX. 304</t>
  </si>
  <si>
    <t>CONECTOR CIEGO DE 2" P/TENSOR ACERO INOX. 304</t>
  </si>
  <si>
    <t>BARRA CENTRAL DIAM 2", L=500MM, ACERO INOX. 304</t>
  </si>
  <si>
    <t>BARRA CENTRAL DIAM 2", L=700MM, ACERO INOX. 304</t>
  </si>
  <si>
    <t>BARRA TENSORA 1/2"  CON CUERDA IZQ Y DER, ACERO INOX MTS</t>
  </si>
  <si>
    <t>CONEC. AJUSTABLE P/TENSOR IZQ. AC INOX 316  SATINADO</t>
  </si>
  <si>
    <t>CONEC. AJUSTABLE P/TENSOR DER. AC INOX  316  SATINADO</t>
  </si>
  <si>
    <t>DESARROLLO DE FACHADAS CON SISTEMA DE CABLES DE ACERO INOXIDABLE</t>
  </si>
  <si>
    <t>CONECTOR SIMPLE MURO-CRISTAL PARA MARQUESINA</t>
  </si>
  <si>
    <t>CONECTOR SIMPLE CRISTAL-TENSOR PARA MARQUESINA</t>
  </si>
  <si>
    <t>CONECTOR SIMPLE MURO-TENSOR PARA MARQUESINA</t>
  </si>
  <si>
    <t>ANCLA BASE PARA MARQUESINA ACERO INOX 304</t>
  </si>
  <si>
    <t>CONECTOR SIMPLE PARA MARQUESINA ACERO INOX 304</t>
  </si>
  <si>
    <t>CONECTOR DOBLE PARA MARQUESINA ACERO INOX 304</t>
  </si>
  <si>
    <t>ANCLA SIMPLE MURO CRISTAL PARA MARQUESINA ACERO INOX 304</t>
  </si>
  <si>
    <t>ANCLA DOBLE MURO CRISTAL PARA MARQUESINA ACERO INOX 304</t>
  </si>
  <si>
    <t>CONECTOR AJUSTABLE PARA TENSOR DE MARQUESINA DERECHO AC INOX. 304</t>
  </si>
  <si>
    <t>CONECTOR AJUSTABLE PARA TENSOR DE MARQUESINA IZQUIERDO AC INOX. 304</t>
  </si>
  <si>
    <t>PANEL ALUM-COMPUESTO 1.30X3.50 MTS.  4MM 0.40AL, PVDF SILVER METALIC</t>
  </si>
  <si>
    <t>PANEL ALUM-COMPUESTO 1.25 X 3.50 MTS.  4MM 0.40AL, PVDF NEGRO</t>
  </si>
  <si>
    <t>PANEL ALUM-COMPUESTO 1.30 X 3.50 MTS.  4MM 0.40AL, PVDF BLANCO</t>
  </si>
  <si>
    <t>PANEL ALUM-COMPUESTO 1.30X5.00 MTS.  4MM 0.40AL, PVDF SILVER METALIC</t>
  </si>
  <si>
    <t>PANEL ALUM-COMPUESTO 1.25 X 5.00 MTS.  4MM 0.40AL, PVDF NEGRO</t>
  </si>
  <si>
    <t>PANEL ALUM-COMPUESTO 1.25X5.00 MTS.  4MM 0.40AL, PVDF BLANCO</t>
  </si>
  <si>
    <t>SELLADOR DE JUNTAS ACRÍLICO TEKBOND, 425/280G/ML, CARTUCHO BLANCO</t>
  </si>
  <si>
    <t>SILICONA ACÉTICA USO GENERAL TEKBOND, 280/290G/ML, CARTUCHO, TRANSPARENTE</t>
  </si>
  <si>
    <t>SILICONA NEUTRA USO GENERAL TEKBOND, 280/280G/ML, CARTUCHO, TRANSPARENTE</t>
  </si>
  <si>
    <t>PISTOLA SELLADORES CANOA METALIZADA TEKBOND, 310ML, NEGRO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</si>
  <si>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</si>
  <si>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</si>
  <si>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</si>
  <si>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</si>
  <si>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</si>
  <si>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</si>
  <si>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</si>
  <si>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</si>
  <si>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</si>
  <si>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</si>
  <si>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</si>
  <si>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</si>
  <si>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</si>
  <si>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</si>
  <si>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</si>
  <si>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</si>
  <si>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</si>
  <si>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</si>
  <si>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</si>
  <si>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</si>
  <si>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</si>
  <si>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</si>
  <si>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</si>
  <si>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NEGRO</t>
  </si>
  <si>
    <t>ACRILASTIC SELLADOR ACRÍLICO - BEIGE</t>
  </si>
  <si>
    <t>ACRILASTIC SELLADOR ACRÍLICO - GRIS</t>
  </si>
  <si>
    <t>BACKER ROD CILÍNDRICO - 1/4"  CAJA  1,219 ML</t>
  </si>
  <si>
    <t>BACKER ROD CILÍNDRICO - 3/8"  CAJA CON 640 ML</t>
  </si>
  <si>
    <t>BACKER ROD CILÍNDRICO - 1/2"  CAJA CON 762 ML</t>
  </si>
  <si>
    <t>BACKER ROD CILÍNDRICO - 3/4"  CAJA CON 335 ML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</si>
  <si>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</si>
  <si>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</si>
  <si>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</si>
  <si>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</si>
  <si>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</si>
  <si>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</si>
  <si>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</si>
  <si>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</si>
  <si>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</si>
  <si>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</si>
  <si>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CINTA SELLADUCTO</t>
  </si>
  <si>
    <t>MASKING TAPE 3M - BEIGE</t>
  </si>
  <si>
    <t>MASKING TAPE 3M - AZUL</t>
  </si>
  <si>
    <t>FESTERGROUT</t>
  </si>
  <si>
    <t>GUNTHER</t>
  </si>
  <si>
    <t>ALCOHOL ISOPROPILICO</t>
  </si>
  <si>
    <t>THINNER</t>
  </si>
  <si>
    <t>PLACA DE NEOPRENO</t>
  </si>
  <si>
    <t>TRAPO LIMPIO</t>
  </si>
  <si>
    <t>PRIMER - NEGRO</t>
  </si>
  <si>
    <t>PRIMER - GRIS</t>
  </si>
  <si>
    <t>PRIMER - BLANCO</t>
  </si>
  <si>
    <t>ECO - TE2025</t>
  </si>
  <si>
    <t xml:space="preserve">DESCRIPCION </t>
  </si>
  <si>
    <t>DESCRIPCION</t>
  </si>
  <si>
    <t>TOPE CORREDIZA</t>
  </si>
  <si>
    <t>EM-01</t>
  </si>
  <si>
    <t>EM-02</t>
  </si>
  <si>
    <t>EM-03</t>
  </si>
  <si>
    <t>EM-04</t>
  </si>
  <si>
    <t>EM-05</t>
  </si>
  <si>
    <t>EM-06</t>
  </si>
  <si>
    <t>EM-07</t>
  </si>
  <si>
    <t>EM-08</t>
  </si>
  <si>
    <t>EM-09</t>
  </si>
  <si>
    <t>EM-10</t>
  </si>
  <si>
    <t>EM-11</t>
  </si>
  <si>
    <t>EM-12</t>
  </si>
  <si>
    <t>EM-13</t>
  </si>
  <si>
    <t>EM-14</t>
  </si>
  <si>
    <t>EM-15</t>
  </si>
  <si>
    <t>EM-16</t>
  </si>
  <si>
    <t>EM-17</t>
  </si>
  <si>
    <t>EM-18</t>
  </si>
  <si>
    <t>EM-19</t>
  </si>
  <si>
    <t>EM-20</t>
  </si>
  <si>
    <t>EM-21</t>
  </si>
  <si>
    <t>HONGO CUADRADO</t>
  </si>
  <si>
    <t>HONGO MIXTO</t>
  </si>
  <si>
    <t>RESPALDO PARTELUZ</t>
  </si>
  <si>
    <t>RESPALDO SERVILETEROS</t>
  </si>
  <si>
    <t xml:space="preserve">CUÑA BARANDAL </t>
  </si>
  <si>
    <t xml:space="preserve">COLA DE RATA </t>
  </si>
  <si>
    <t>LENGÜETA</t>
  </si>
  <si>
    <t>MEDIA LUNA GRANDE</t>
  </si>
  <si>
    <t>BOLSA</t>
  </si>
  <si>
    <t>CAÑUELA 6MM LINEA HEG-70 - VENTILAS</t>
  </si>
  <si>
    <t>CAÑUELA 6MM LINEA HEG-90</t>
  </si>
  <si>
    <t>CAÑUELA 6MM CON CAVERNAS</t>
  </si>
  <si>
    <t>CAÑUELA 9.5MM</t>
  </si>
  <si>
    <t>CAÑUELA 12.7MM</t>
  </si>
  <si>
    <t>CAÑUELA 24MM</t>
  </si>
  <si>
    <t xml:space="preserve">PLAYO TRANSPARENTE 18" </t>
  </si>
  <si>
    <t>JP-01</t>
  </si>
  <si>
    <t>CARTON CORRUGADO DE 2 MTS DE ALTURA - 6 ROLLOS</t>
  </si>
  <si>
    <t>JP-02</t>
  </si>
  <si>
    <t>DIBUJO</t>
  </si>
  <si>
    <t>MEDIDA</t>
  </si>
  <si>
    <t>ACABADO</t>
  </si>
  <si>
    <t>KG</t>
  </si>
  <si>
    <t>M.L.</t>
  </si>
  <si>
    <t>PROYECTO</t>
  </si>
  <si>
    <t>FAMILIA</t>
  </si>
  <si>
    <t>PROVEEDOR</t>
  </si>
  <si>
    <t>FECHA DE APROBACION</t>
  </si>
  <si>
    <t xml:space="preserve">SITUACIONES ESPECIALES </t>
  </si>
  <si>
    <t>PEDIDO:</t>
  </si>
  <si>
    <t>FAMILIA:</t>
  </si>
  <si>
    <t>PROVEEDOR:</t>
  </si>
  <si>
    <t>ENTREGAR EN:</t>
  </si>
  <si>
    <t>CONCEPTO:</t>
  </si>
  <si>
    <t>SITUACIONES ESPECIALES</t>
  </si>
  <si>
    <t>ATENCION:</t>
  </si>
  <si>
    <t>CANTIDAD</t>
  </si>
  <si>
    <t xml:space="preserve">IMPORTE </t>
  </si>
  <si>
    <t>PRECIOxKG</t>
  </si>
  <si>
    <t>CLAN</t>
  </si>
  <si>
    <t>MATERIALES</t>
  </si>
  <si>
    <t>LUGAR DE ENTREGA</t>
  </si>
  <si>
    <t>Cd. De México a 06 de Noviembre del 2025</t>
  </si>
  <si>
    <t>JAIME NUNO</t>
  </si>
  <si>
    <t>INSURGENTES SUR 1921</t>
  </si>
  <si>
    <t>Col. GUADALUPE INN</t>
  </si>
  <si>
    <t>DEL. ALVARO OBREGON</t>
  </si>
  <si>
    <t>CP 01020</t>
  </si>
  <si>
    <t>-</t>
  </si>
  <si>
    <t>06/11/2025</t>
  </si>
  <si>
    <t>APROBADO</t>
  </si>
  <si>
    <t>JUAN ALEJANDRO CHAVEZ</t>
  </si>
  <si>
    <t>COL. CAROLA</t>
  </si>
  <si>
    <t>DELG. ALVARO OBREGON</t>
  </si>
  <si>
    <t>ALEJANDRO CHAVEZ</t>
  </si>
  <si>
    <t>AV. NELLIE CAMPOBELLO No.. 129 EDIF. CORA DEPTO 604</t>
  </si>
  <si>
    <t>250</t>
  </si>
  <si>
    <t>EM</t>
  </si>
  <si>
    <t xml:space="preserve">EMPAQUES </t>
  </si>
  <si>
    <t>00443 JAIME NUNO</t>
  </si>
  <si>
    <t>FELPA DE 7 X 5 CON PELO INTERMEDIO</t>
  </si>
  <si>
    <t>ROLLO DE 100 MTS.</t>
  </si>
  <si>
    <t>COLOR NEGRO</t>
  </si>
  <si>
    <t>D. ERICK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</si>
</sst>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;\-&quot;$&quot;#,##0.00"/>
    <numFmt numFmtId="165" formatCode="&quot;$&quot;#,##0.00;[Red]\-&quot;$&quot;#,##0.00"/>
    <numFmt numFmtId="166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36"/>
      <color theme="1"/>
      <name val="Calibri"/>
      <family val="2"/>
      <scheme val="minor"/>
    </font>
    <font>
      <b/>
      <sz val="13"/>
      <color indexed="8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66" fontId="5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6" fontId="4" fillId="0" borderId="0" xfId="2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3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3" applyFont="1"/>
    <xf numFmtId="0" fontId="7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166" fontId="6" fillId="0" borderId="14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6" fontId="4" fillId="0" borderId="17" xfId="2" applyFont="1" applyFill="1" applyBorder="1" applyAlignment="1">
      <alignment vertical="center"/>
    </xf>
    <xf numFmtId="166" fontId="4" fillId="0" borderId="17" xfId="2" applyFont="1" applyFill="1" applyBorder="1" applyAlignment="1">
      <alignment horizontal="center" vertical="center"/>
    </xf>
    <xf numFmtId="166" fontId="4" fillId="0" borderId="0" xfId="2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166" fontId="4" fillId="0" borderId="0" xfId="2" applyFont="1"/>
    <xf numFmtId="0" fontId="4" fillId="0" borderId="16" xfId="0" applyFont="1" applyBorder="1" applyAlignment="1">
      <alignment horizontal="center" vertical="center"/>
    </xf>
    <xf numFmtId="166" fontId="4" fillId="0" borderId="16" xfId="2" applyFont="1" applyFill="1" applyBorder="1" applyAlignment="1">
      <alignment horizontal="center" vertical="center"/>
    </xf>
    <xf numFmtId="4" fontId="4" fillId="0" borderId="0" xfId="1" applyNumberFormat="1" applyFont="1" applyFill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166" fontId="4" fillId="0" borderId="19" xfId="2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top" wrapText="1"/>
    </xf>
    <xf numFmtId="0" fontId="13" fillId="0" borderId="22" xfId="0" applyFont="1" applyBorder="1"/>
    <xf numFmtId="0" fontId="13" fillId="0" borderId="23" xfId="0" applyFont="1" applyBorder="1"/>
    <xf numFmtId="0" fontId="0" fillId="0" borderId="24" xfId="0" applyBorder="1"/>
    <xf numFmtId="0" fontId="13" fillId="0" borderId="18" xfId="0" applyFont="1" applyBorder="1"/>
    <xf numFmtId="166" fontId="14" fillId="0" borderId="23" xfId="0" applyNumberFormat="1" applyFont="1" applyBorder="1" applyAlignment="1">
      <alignment horizontal="center"/>
    </xf>
    <xf numFmtId="166" fontId="14" fillId="0" borderId="22" xfId="0" applyNumberFormat="1" applyFont="1" applyBorder="1" applyAlignment="1">
      <alignment horizontal="center"/>
    </xf>
    <xf numFmtId="166" fontId="14" fillId="0" borderId="20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6" xfId="0" applyNumberFormat="1" applyFont="1" applyBorder="1" applyAlignment="1">
      <alignment horizontal="center"/>
    </xf>
    <xf numFmtId="166" fontId="14" fillId="0" borderId="22" xfId="2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166" fontId="14" fillId="0" borderId="23" xfId="0" applyNumberFormat="1" applyFont="1" applyBorder="1"/>
    <xf numFmtId="166" fontId="14" fillId="0" borderId="25" xfId="2" applyFont="1" applyBorder="1"/>
    <xf numFmtId="166" fontId="14" fillId="0" borderId="26" xfId="0" applyNumberFormat="1" applyFont="1" applyBorder="1"/>
    <xf numFmtId="166" fontId="14" fillId="0" borderId="28" xfId="0" applyNumberFormat="1" applyFont="1" applyBorder="1"/>
    <xf numFmtId="0" fontId="14" fillId="0" borderId="22" xfId="0" applyFont="1" applyBorder="1"/>
    <xf numFmtId="0" fontId="14" fillId="0" borderId="20" xfId="0" applyFont="1" applyBorder="1"/>
    <xf numFmtId="0" fontId="14" fillId="0" borderId="25" xfId="0" applyFont="1" applyBorder="1"/>
    <xf numFmtId="0" fontId="14" fillId="0" borderId="27" xfId="0" applyFont="1" applyBorder="1"/>
    <xf numFmtId="0" fontId="14" fillId="0" borderId="23" xfId="0" applyFont="1" applyBorder="1"/>
    <xf numFmtId="0" fontId="14" fillId="0" borderId="26" xfId="0" applyFont="1" applyBorder="1"/>
    <xf numFmtId="0" fontId="14" fillId="0" borderId="18" xfId="0" applyFont="1" applyBorder="1"/>
    <xf numFmtId="0" fontId="15" fillId="0" borderId="22" xfId="0" applyFont="1" applyBorder="1"/>
    <xf numFmtId="0" fontId="15" fillId="0" borderId="23" xfId="0" applyFont="1" applyBorder="1"/>
    <xf numFmtId="165" fontId="14" fillId="0" borderId="22" xfId="2" applyNumberFormat="1" applyFont="1" applyBorder="1" applyAlignment="1">
      <alignment horizontal="center"/>
    </xf>
    <xf numFmtId="0" fontId="17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/>
    </xf>
    <xf numFmtId="166" fontId="4" fillId="0" borderId="19" xfId="2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4" fontId="4" fillId="0" borderId="19" xfId="2" applyNumberFormat="1" applyFont="1" applyBorder="1" applyAlignment="1">
      <alignment horizontal="center" vertical="center"/>
    </xf>
    <xf numFmtId="166" fontId="17" fillId="0" borderId="18" xfId="2" applyFont="1" applyBorder="1" applyAlignment="1">
      <alignment horizontal="right" vertical="top" wrapText="1"/>
    </xf>
    <xf numFmtId="166" fontId="17" fillId="0" borderId="18" xfId="2" applyFont="1" applyBorder="1" applyAlignment="1">
      <alignment horizontal="right" vertical="top"/>
    </xf>
    <xf numFmtId="166" fontId="9" fillId="0" borderId="18" xfId="2" applyFont="1" applyBorder="1" applyAlignment="1">
      <alignment horizontal="right"/>
    </xf>
    <xf numFmtId="166" fontId="9" fillId="0" borderId="18" xfId="2" applyFont="1" applyFill="1" applyBorder="1" applyAlignment="1">
      <alignment horizontal="right"/>
    </xf>
    <xf numFmtId="49" fontId="4" fillId="0" borderId="0" xfId="1" applyNumberFormat="1" applyFon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49" fontId="6" fillId="0" borderId="14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vertical="center" wrapText="1"/>
    </xf>
    <xf numFmtId="49" fontId="8" fillId="0" borderId="19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0" xfId="3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11" fillId="0" borderId="21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vertical="top" wrapText="1" readingOrder="1"/>
    </xf>
    <xf numFmtId="49" fontId="17" fillId="0" borderId="18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horizontal="left" vertical="top"/>
    </xf>
    <xf numFmtId="49" fontId="9" fillId="0" borderId="18" xfId="0" applyNumberFormat="1" applyFont="1" applyBorder="1"/>
    <xf numFmtId="49" fontId="0" fillId="0" borderId="0" xfId="0" applyNumberFormat="1"/>
    <xf numFmtId="49" fontId="9" fillId="0" borderId="18" xfId="0" applyNumberFormat="1" applyFont="1" applyBorder="1" applyAlignment="1">
      <alignment horizontal="left" vertical="center"/>
    </xf>
    <xf numFmtId="166" fontId="0" fillId="0" borderId="18" xfId="2" applyFont="1" applyFill="1" applyBorder="1" applyAlignment="1">
      <alignment horizontal="right"/>
    </xf>
    <xf numFmtId="49" fontId="9" fillId="0" borderId="18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 wrapText="1"/>
    </xf>
    <xf numFmtId="49" fontId="9" fillId="0" borderId="18" xfId="0" applyNumberFormat="1" applyFont="1" applyBorder="1" applyAlignment="1">
      <alignment horizontal="left"/>
    </xf>
    <xf numFmtId="49" fontId="0" fillId="0" borderId="19" xfId="0" applyNumberFormat="1" applyBorder="1"/>
    <xf numFmtId="0" fontId="0" fillId="0" borderId="19" xfId="0" applyBorder="1"/>
    <xf numFmtId="166" fontId="0" fillId="0" borderId="19" xfId="2" applyFont="1" applyFill="1" applyBorder="1"/>
    <xf numFmtId="166" fontId="4" fillId="0" borderId="32" xfId="2" applyFont="1" applyFill="1" applyBorder="1" applyAlignment="1">
      <alignment horizontal="center" vertical="center"/>
    </xf>
    <xf numFmtId="166" fontId="4" fillId="0" borderId="33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0" borderId="34" xfId="0" applyNumberFormat="1" applyFont="1" applyBorder="1"/>
    <xf numFmtId="49" fontId="9" fillId="0" borderId="0" xfId="0" applyNumberFormat="1" applyFont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34" xfId="3" applyFont="1" applyBorder="1" applyAlignment="1">
      <alignment horizontal="right"/>
    </xf>
    <xf numFmtId="166" fontId="4" fillId="0" borderId="34" xfId="2" applyFont="1" applyFill="1" applyBorder="1"/>
    <xf numFmtId="0" fontId="6" fillId="0" borderId="34" xfId="0" applyFont="1" applyBorder="1" applyAlignment="1">
      <alignment horizontal="left"/>
    </xf>
    <xf numFmtId="0" fontId="4" fillId="0" borderId="3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34" xfId="3" applyFont="1" applyBorder="1" applyAlignment="1">
      <alignment horizontal="left" vertical="center"/>
    </xf>
    <xf numFmtId="3" fontId="19" fillId="0" borderId="19" xfId="0" applyNumberFormat="1" applyFont="1" applyBorder="1" applyAlignment="1">
      <alignment horizontal="center" vertical="center" wrapText="1"/>
    </xf>
    <xf numFmtId="166" fontId="4" fillId="0" borderId="35" xfId="2" applyFont="1" applyBorder="1" applyAlignment="1">
      <alignment horizontal="center" vertical="center"/>
    </xf>
    <xf numFmtId="49" fontId="8" fillId="0" borderId="15" xfId="0" applyNumberFormat="1" applyFont="1" applyBorder="1" applyAlignment="1">
      <alignment vertical="center" wrapText="1"/>
    </xf>
    <xf numFmtId="0" fontId="4" fillId="0" borderId="19" xfId="3" applyFont="1" applyBorder="1" applyAlignment="1">
      <alignment horizontal="left" vertical="center" wrapText="1"/>
    </xf>
    <xf numFmtId="0" fontId="4" fillId="0" borderId="19" xfId="3" applyFont="1" applyBorder="1" applyAlignment="1">
      <alignment horizontal="center" vertical="center" wrapText="1"/>
    </xf>
    <xf numFmtId="3" fontId="4" fillId="0" borderId="19" xfId="3" applyNumberFormat="1" applyFont="1" applyBorder="1" applyAlignment="1">
      <alignment horizontal="center" vertical="center"/>
    </xf>
    <xf numFmtId="0" fontId="4" fillId="0" borderId="16" xfId="2" applyNumberFormat="1" applyFont="1" applyBorder="1" applyAlignment="1">
      <alignment horizontal="center" vertical="center"/>
    </xf>
    <xf numFmtId="0" fontId="4" fillId="0" borderId="19" xfId="2" applyNumberFormat="1" applyFont="1" applyBorder="1" applyAlignment="1">
      <alignment horizontal="center" vertical="center"/>
    </xf>
  </cellXfs>
  <cellStyles count="7">
    <cellStyle name="Comma" xfId="1" builtinId="3"/>
    <cellStyle name="Currency" xfId="2" builtinId="4"/>
    <cellStyle name="Moneda 3" xfId="6" xr:uid="{228B8799-CF59-4A6D-9D68-C40BB3ACA141}"/>
    <cellStyle name="Normal" xfId="0" builtinId="0"/>
    <cellStyle name="Normal 122" xfId="5" xr:uid="{ED27C73F-0474-46A9-81E0-B767DA4F76EE}"/>
    <cellStyle name="Normal 15 2" xfId="4" xr:uid="{8E5293CA-D76A-464E-9CC8-A0467EE08BF3}"/>
    <cellStyle name="Normal 2" xfId="3" xr:uid="{CBFC5A1E-FB81-4E94-9F6B-F66DD5BE4DEE}"/>
  </cellStyles>
  <dxfs count="12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28223</xdr:colOff>
      <xdr:row>0</xdr:row>
      <xdr:rowOff>0</xdr:rowOff>
    </xdr:from>
    <xdr:to>
      <xdr:col>2</xdr:col>
      <xdr:colOff>1195049</xdr:colOff>
      <xdr:row>6</xdr:row>
      <xdr:rowOff>155222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E09D705-5D60-429D-AD9C-821B8C62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556" y="0"/>
          <a:ext cx="2105215" cy="1255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42332</xdr:colOff>
      <xdr:row>18</xdr:row>
      <xdr:rowOff>77613</xdr:rowOff>
    </xdr:from>
    <xdr:to>
      <xdr:col>6</xdr:col>
      <xdr:colOff>1799167</xdr:colOff>
      <xdr:row>18</xdr:row>
      <xdr:rowOff>1427641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69CDE5-CE19-4EB6-A639-5876A08F2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88" t="6777" r="40813" b="32705"/>
        <a:stretch/>
      </xdr:blipFill>
      <xdr:spPr>
        <a:xfrm>
          <a:off x="6025443" y="3421946"/>
          <a:ext cx="1756835" cy="1350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1387534</xdr:colOff>
      <xdr:row>8</xdr:row>
      <xdr:rowOff>123825</xdr:rowOff>
    </xdr:to>
    <xdr:pic>
      <xdr:nvPicPr>
        <xdr:cNvPr id="975" name="Imagen 974">
          <a:extLst>
            <a:ext uri="{FF2B5EF4-FFF2-40B4-BE49-F238E27FC236}">
              <a16:creationId xmlns:a16="http://schemas.microsoft.com/office/drawing/2014/main" id="{10E4842E-1D8C-4129-8684-4BE2AFC6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61925"/>
          <a:ext cx="2101909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571500</xdr:colOff>
      <xdr:row>23</xdr:row>
      <xdr:rowOff>161925</xdr:rowOff>
    </xdr:from>
    <xdr:to>
      <xdr:col>10</xdr:col>
      <xdr:colOff>852497</xdr:colOff>
      <xdr:row>23</xdr:row>
      <xdr:rowOff>375095</xdr:rowOff>
    </xdr:to>
    <xdr:pic>
      <xdr:nvPicPr>
        <xdr:cNvPr id="2" name="Imagen 15">
          <a:extLst>
            <a:ext uri="{FF2B5EF4-FFF2-40B4-BE49-F238E27FC236}">
              <a16:creationId xmlns:a16="http://schemas.microsoft.com/office/drawing/2014/main" id="{B3D40E89-FDF2-41A1-A7B5-41FAA6FE5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421" t="20359"/>
        <a:stretch/>
      </xdr:blipFill>
      <xdr:spPr>
        <a:xfrm>
          <a:off x="10191750" y="4000500"/>
          <a:ext cx="280997" cy="213170"/>
        </a:xfrm>
        <a:prstGeom prst="rect">
          <a:avLst/>
        </a:prstGeom>
      </xdr:spPr>
    </xdr:pic>
    <xdr:clientData/>
  </xdr:twoCellAnchor>
  <xdr:twoCellAnchor>
    <xdr:from>
      <xdr:col>10</xdr:col>
      <xdr:colOff>542925</xdr:colOff>
      <xdr:row>24</xdr:row>
      <xdr:rowOff>28577</xdr:rowOff>
    </xdr:from>
    <xdr:to>
      <xdr:col>10</xdr:col>
      <xdr:colOff>890074</xdr:colOff>
      <xdr:row>24</xdr:row>
      <xdr:rowOff>457200</xdr:rowOff>
    </xdr:to>
    <xdr:pic>
      <xdr:nvPicPr>
        <xdr:cNvPr id="3" name="Imagen 19">
          <a:extLst>
            <a:ext uri="{FF2B5EF4-FFF2-40B4-BE49-F238E27FC236}">
              <a16:creationId xmlns:a16="http://schemas.microsoft.com/office/drawing/2014/main" id="{D7910A12-0AF2-48C2-8AE1-605AAEA9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122438" y="4222214"/>
          <a:ext cx="428623" cy="347149"/>
        </a:xfrm>
        <a:prstGeom prst="rect">
          <a:avLst/>
        </a:prstGeom>
      </xdr:spPr>
    </xdr:pic>
    <xdr:clientData/>
  </xdr:twoCellAnchor>
  <xdr:twoCellAnchor>
    <xdr:from>
      <xdr:col>10</xdr:col>
      <xdr:colOff>485775</xdr:colOff>
      <xdr:row>25</xdr:row>
      <xdr:rowOff>152400</xdr:rowOff>
    </xdr:from>
    <xdr:to>
      <xdr:col>10</xdr:col>
      <xdr:colOff>941913</xdr:colOff>
      <xdr:row>25</xdr:row>
      <xdr:rowOff>389130</xdr:rowOff>
    </xdr:to>
    <xdr:pic>
      <xdr:nvPicPr>
        <xdr:cNvPr id="4" name="Imagen 21">
          <a:extLst>
            <a:ext uri="{FF2B5EF4-FFF2-40B4-BE49-F238E27FC236}">
              <a16:creationId xmlns:a16="http://schemas.microsoft.com/office/drawing/2014/main" id="{32F66FDC-4AE7-4F99-B36A-231C29DDC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06025" y="5114925"/>
          <a:ext cx="456138" cy="2367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365E1-AFC0-4567-9412-5726507E47AB}" name="Table1" displayName="Table1" ref="A1:J2" totalsRowShown="0" headerRowDxfId="11" dataDxfId="10">
  <autoFilter ref="A1:J2" xr:uid="{923365E1-AFC0-4567-9412-5726507E47AB}"/>
  <tableColumns count="10">
    <tableColumn id="1" xr3:uid="{A8993315-9B21-4D9F-A093-AD7C9D3FD279}" name="PROYECTO" dataDxfId="9">
      <calculatedColumnFormula>RESPALDO!F14</calculatedColumnFormula>
    </tableColumn>
    <tableColumn id="2" xr3:uid="{72914321-A187-4EF6-8B7D-932AFB0866E6}" name="PEDIDO" dataDxfId="8">
      <calculatedColumnFormula>RESPALDO!C13</calculatedColumnFormula>
    </tableColumn>
    <tableColumn id="10" xr3:uid="{59C0972B-5A2E-49E3-9A4C-8A42DD25565A}" name="CLAN" dataDxfId="7">
      <calculatedColumnFormula>RESPALDO!F15</calculatedColumnFormula>
    </tableColumn>
    <tableColumn id="3" xr3:uid="{E70A708C-1EC2-44D0-BBC0-749B27E34CF9}" name="FAMILIA" dataDxfId="6">
      <calculatedColumnFormula>RESPALDO!C14</calculatedColumnFormula>
    </tableColumn>
    <tableColumn id="4" xr3:uid="{2D31E1E7-3BC9-4693-9B94-F2C24CA9424A}" name="PROVEEDOR" dataDxfId="5">
      <calculatedColumnFormula>RESPALDO!F4</calculatedColumnFormula>
    </tableColumn>
    <tableColumn id="5" xr3:uid="{A4742104-BCDB-41CF-BA22-5184F9FF1815}" name="FECHA DE APROBACION" dataDxfId="4">
      <calculatedColumnFormula>RESPALDO!C42</calculatedColumnFormula>
    </tableColumn>
    <tableColumn id="6" xr3:uid="{29158480-7ED7-49F3-81D1-7BE91CAA1083}" name="LUGAR DE ENTREGA" dataDxfId="3">
      <calculatedColumnFormula>RESPALDO!F16</calculatedColumnFormula>
    </tableColumn>
    <tableColumn id="7" xr3:uid="{D793D3E3-F7EC-49FE-932D-F8A0DECCB169}" name="CONCEPTO" dataDxfId="2">
      <calculatedColumnFormula>RESPALDO!C15</calculatedColumnFormula>
    </tableColumn>
    <tableColumn id="8" xr3:uid="{8E52F74E-BCDF-45BA-95F1-CEA6BD1D34D2}" name="SITUACIONES ESPECIALES " dataDxfId="1">
      <calculatedColumnFormula>RESPALDO!L40</calculatedColumnFormula>
    </tableColumn>
    <tableColumn id="9" xr3:uid="{0DE035D9-A714-4F49-8CD3-5ACFE78DD14A}" name="IMPORTE" dataDxfId="0">
      <calculatedColumnFormula>RESPALDO!I43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3:BZ25"/>
  <sheetViews>
    <sheetView topLeftCell="A13" zoomScale="90" zoomScaleNormal="90" workbookViewId="0">
      <selection activeCell="C19" sqref="C19:E19"/>
    </sheetView>
  </sheetViews>
  <sheetFormatPr defaultColWidth="10.85546875" defaultRowHeight="16.5" x14ac:dyDescent="0.3"/>
  <cols>
    <col min="1" max="1" width="2.42578125" customWidth="1"/>
    <col min="2" max="2" width="13.42578125" style="3" customWidth="1"/>
    <col min="3" max="5" width="18.5703125" style="3" customWidth="1"/>
    <col min="6" max="6" width="13.7109375" style="3" customWidth="1"/>
    <col min="7" max="7" width="26.28515625" style="3" customWidth="1"/>
    <col min="8" max="10" width="13.7109375" style="3" customWidth="1"/>
    <col min="11" max="11" width="2.28515625" style="5" customWidth="1"/>
    <col min="12" max="12" width="13.7109375" style="3" customWidth="1"/>
    <col min="13" max="14" width="11.42578125" style="3"/>
    <col min="15" max="15" width="11.42578125" style="5"/>
    <col min="16" max="78" width="11.42578125" style="3"/>
  </cols>
  <sheetData>
    <row r="3" spans="2:10" x14ac:dyDescent="0.3">
      <c r="H3" s="123" t="s">
        <v>13</v>
      </c>
      <c r="I3" s="123"/>
      <c r="J3" s="123"/>
    </row>
    <row r="9" spans="2:10" ht="17.25" thickBot="1" x14ac:dyDescent="0.35">
      <c r="B9" s="2" t="s">
        <v>0</v>
      </c>
      <c r="C9" s="6" t="s">
        <v>9</v>
      </c>
      <c r="H9" s="119" t="s">
        <v>14</v>
      </c>
      <c r="I9" s="119"/>
      <c r="J9" s="119"/>
    </row>
    <row r="10" spans="2:10" x14ac:dyDescent="0.3">
      <c r="B10" s="2" t="s">
        <v>1</v>
      </c>
      <c r="C10" s="3" t="s">
        <v>10</v>
      </c>
      <c r="H10" s="131"/>
      <c r="I10" s="131"/>
      <c r="J10" s="131"/>
    </row>
    <row r="11" spans="2:10" x14ac:dyDescent="0.3">
      <c r="B11" s="2"/>
      <c r="C11" s="3" t="s">
        <v>11</v>
      </c>
    </row>
    <row r="12" spans="2:10" x14ac:dyDescent="0.3">
      <c r="B12" s="2"/>
    </row>
    <row r="13" spans="2:10" x14ac:dyDescent="0.3">
      <c r="B13" s="2"/>
    </row>
    <row r="14" spans="2:10" x14ac:dyDescent="0.3">
      <c r="B14" s="2"/>
      <c r="C14" s="4"/>
    </row>
    <row r="15" spans="2:10" ht="17.25" thickBot="1" x14ac:dyDescent="0.35">
      <c r="B15" s="130" t="s">
        <v>12</v>
      </c>
      <c r="C15" s="130"/>
      <c r="D15" s="130"/>
      <c r="H15" s="130" t="s">
        <v>15</v>
      </c>
      <c r="I15" s="130"/>
      <c r="J15" s="130"/>
    </row>
    <row r="16" spans="2:10" ht="18" thickTop="1" thickBot="1" x14ac:dyDescent="0.35">
      <c r="I16" s="7"/>
    </row>
    <row r="17" spans="2:78" s="1" customFormat="1" ht="17.25" thickTop="1" x14ac:dyDescent="0.25">
      <c r="B17" s="124" t="s">
        <v>3</v>
      </c>
      <c r="C17" s="124" t="s">
        <v>4</v>
      </c>
      <c r="D17" s="125"/>
      <c r="E17" s="126"/>
      <c r="F17" s="125" t="s">
        <v>2</v>
      </c>
      <c r="G17" s="124" t="s">
        <v>5</v>
      </c>
      <c r="H17" s="124" t="s">
        <v>6</v>
      </c>
      <c r="I17" s="125"/>
      <c r="J17" s="12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2:78" s="1" customFormat="1" ht="17.25" thickBot="1" x14ac:dyDescent="0.3">
      <c r="B18" s="127"/>
      <c r="C18" s="127"/>
      <c r="D18" s="128"/>
      <c r="E18" s="129"/>
      <c r="F18" s="128"/>
      <c r="G18" s="127"/>
      <c r="H18" s="127"/>
      <c r="I18" s="128"/>
      <c r="J18" s="12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2:78" ht="119.1" customHeight="1" thickTop="1" thickBot="1" x14ac:dyDescent="0.35">
      <c r="B19" s="8">
        <v>1</v>
      </c>
      <c r="C19" s="116" t="s">
        <v>16</v>
      </c>
      <c r="D19" s="117"/>
      <c r="E19" s="118"/>
      <c r="F19" s="9" t="s">
        <v>17</v>
      </c>
      <c r="G19" s="9">
        <v>1</v>
      </c>
      <c r="H19" s="120"/>
      <c r="I19" s="121"/>
      <c r="J19" s="122"/>
    </row>
    <row r="20" spans="2:78" ht="17.25" thickTop="1" x14ac:dyDescent="0.3"/>
    <row r="23" spans="2:78" x14ac:dyDescent="0.3">
      <c r="B23" s="6" t="s">
        <v>7</v>
      </c>
    </row>
    <row r="24" spans="2:78" x14ac:dyDescent="0.3">
      <c r="B24" s="6"/>
    </row>
    <row r="25" spans="2:78" x14ac:dyDescent="0.3">
      <c r="B25" s="6" t="s">
        <v>8</v>
      </c>
    </row>
  </sheetData>
  <mergeCells count="12">
    <mergeCell ref="C19:E19"/>
    <mergeCell ref="H9:J9"/>
    <mergeCell ref="H19:J19"/>
    <mergeCell ref="H3:J3"/>
    <mergeCell ref="C17:E18"/>
    <mergeCell ref="F17:F18"/>
    <mergeCell ref="G17:G18"/>
    <mergeCell ref="H17:J18"/>
    <mergeCell ref="H15:J15"/>
    <mergeCell ref="H10:J10"/>
    <mergeCell ref="B15:D15"/>
    <mergeCell ref="B17:B18"/>
  </mergeCells>
  <printOptions horizontalCentered="1"/>
  <pageMargins left="0.39370078740157483" right="0.78740157480314965" top="0.74803149606299213" bottom="0.74803149606299213" header="0.31496062992125984" footer="0.31496062992125984"/>
  <pageSetup paperSize="11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615A-CD9D-4C5C-B1AA-02AFDB258F00}">
  <sheetPr codeName="Sheet2">
    <pageSetUpPr fitToPage="1"/>
  </sheetPr>
  <dimension ref="B2:R98"/>
  <sheetViews>
    <sheetView tabSelected="1" zoomScaleNormal="100" workbookViewId="0">
      <selection activeCell="K13" sqref="K13"/>
    </sheetView>
  </sheetViews>
  <sheetFormatPr defaultColWidth="11.42578125" defaultRowHeight="12.95" customHeight="1" x14ac:dyDescent="0.2"/>
  <cols>
    <col min="1" max="1" width="5.7109375" style="11" customWidth="1"/>
    <col min="2" max="2" width="10.7109375" style="11" customWidth="1"/>
    <col min="3" max="3" width="45.7109375" style="79" customWidth="1"/>
    <col min="4" max="4" width="14.28515625" style="79" customWidth="1"/>
    <col min="5" max="5" width="10.42578125" style="79" customWidth="1"/>
    <col min="6" max="6" width="11.28515625" style="79" customWidth="1"/>
    <col min="7" max="7" width="10.28515625" style="12" customWidth="1"/>
    <col min="8" max="8" width="11.28515625" style="12" customWidth="1"/>
    <col min="9" max="9" width="12.7109375" style="12" customWidth="1"/>
    <col min="10" max="10" width="11.85546875" style="12" customWidth="1"/>
    <col min="11" max="11" width="21.42578125" style="12" customWidth="1"/>
    <col min="12" max="12" width="11.28515625" style="12" customWidth="1"/>
    <col min="13" max="13" width="18.140625" style="12" customWidth="1"/>
    <col min="14" max="14" width="9.7109375" style="12" customWidth="1"/>
    <col min="15" max="15" width="13.140625" style="13" customWidth="1"/>
    <col min="16" max="16" width="14.5703125" style="13" customWidth="1"/>
    <col min="17" max="16384" width="11.42578125" style="11"/>
  </cols>
  <sheetData>
    <row r="2" spans="2:14" ht="12.95" customHeight="1" x14ac:dyDescent="0.2">
      <c r="B2" s="10"/>
      <c r="C2" s="77"/>
      <c r="D2" s="77"/>
      <c r="E2" s="11" t="s">
        <v>3425</v>
      </c>
      <c r="F2" s="11"/>
      <c r="H2" s="11"/>
      <c r="I2" s="11"/>
      <c r="J2" s="11"/>
    </row>
    <row r="3" spans="2:14" ht="12.95" customHeight="1" thickBot="1" x14ac:dyDescent="0.25">
      <c r="B3" s="10"/>
      <c r="C3" s="78"/>
      <c r="D3" s="78"/>
      <c r="E3" s="12"/>
      <c r="F3" s="12"/>
      <c r="N3" s="15"/>
    </row>
    <row r="4" spans="2:14" ht="12.95" customHeight="1" thickBot="1" x14ac:dyDescent="0.25">
      <c r="B4" s="10"/>
      <c r="C4" s="78"/>
      <c r="E4" s="80" t="s">
        <v>3414</v>
      </c>
      <c r="F4" s="114" t="s">
        <v>3434</v>
      </c>
      <c r="H4" s="19"/>
      <c r="I4" s="19"/>
      <c r="J4" s="19"/>
      <c r="N4" s="15"/>
    </row>
    <row r="5" spans="2:14" ht="12.95" customHeight="1" x14ac:dyDescent="0.2">
      <c r="B5" s="10"/>
      <c r="C5" s="78"/>
      <c r="D5" s="78"/>
      <c r="E5" s="78"/>
      <c r="F5" s="78" t="s">
        <v>3438</v>
      </c>
      <c r="G5" s="19"/>
      <c r="H5" s="19"/>
      <c r="I5" s="19"/>
      <c r="J5" s="19"/>
      <c r="N5" s="15"/>
    </row>
    <row r="6" spans="2:14" ht="12.95" customHeight="1" x14ac:dyDescent="0.2">
      <c r="B6" s="10"/>
      <c r="C6" s="78"/>
      <c r="D6" s="78"/>
      <c r="E6" s="78"/>
      <c r="F6" s="78" t="s">
        <v>3435</v>
      </c>
      <c r="G6" s="19"/>
      <c r="H6" s="19"/>
      <c r="I6" s="19"/>
      <c r="J6" s="19"/>
      <c r="N6" s="15"/>
    </row>
    <row r="7" spans="2:14" ht="12.95" customHeight="1" x14ac:dyDescent="0.2">
      <c r="B7" s="10"/>
      <c r="C7" s="78"/>
      <c r="D7" s="78"/>
      <c r="E7" s="78"/>
      <c r="F7" s="78" t="s">
        <v>3436</v>
      </c>
      <c r="G7" s="19"/>
      <c r="H7" s="19"/>
      <c r="I7" s="19"/>
      <c r="J7" s="19"/>
      <c r="N7" s="15"/>
    </row>
    <row r="8" spans="2:14" ht="12.95" customHeight="1" x14ac:dyDescent="0.2">
      <c r="B8" s="10"/>
      <c r="C8" s="78"/>
      <c r="D8" s="78"/>
      <c r="E8" s="78"/>
      <c r="F8" s="78"/>
      <c r="G8" s="19"/>
      <c r="H8" s="19"/>
      <c r="I8" s="19"/>
      <c r="J8" s="19"/>
      <c r="N8" s="15"/>
    </row>
    <row r="9" spans="2:14" ht="12.95" customHeight="1" x14ac:dyDescent="0.2">
      <c r="B9" s="10"/>
      <c r="C9" s="78"/>
      <c r="D9" s="78"/>
      <c r="E9" s="78"/>
      <c r="F9" s="78"/>
      <c r="G9" s="18"/>
      <c r="H9" s="18"/>
      <c r="I9" s="18"/>
      <c r="J9" s="18"/>
      <c r="N9" s="15"/>
    </row>
    <row r="10" spans="2:14" ht="12.95" customHeight="1" x14ac:dyDescent="0.2">
      <c r="B10" s="10"/>
      <c r="C10" s="78"/>
      <c r="E10" s="80" t="s">
        <v>3418</v>
      </c>
      <c r="F10" s="134" t="s">
        <v>3437</v>
      </c>
      <c r="G10" s="19"/>
      <c r="H10" s="19"/>
      <c r="I10" s="19"/>
      <c r="J10" s="19"/>
      <c r="N10" s="15"/>
    </row>
    <row r="11" spans="2:14" ht="12.95" customHeight="1" x14ac:dyDescent="0.2">
      <c r="B11" s="16" t="s">
        <v>18</v>
      </c>
      <c r="G11" s="19"/>
      <c r="H11" s="19"/>
      <c r="I11" s="19"/>
      <c r="J11" s="19"/>
    </row>
    <row r="12" spans="2:14" ht="12.95" customHeight="1" thickBot="1" x14ac:dyDescent="0.25"/>
    <row r="13" spans="2:14" ht="12.95" customHeight="1" thickBot="1" x14ac:dyDescent="0.25">
      <c r="B13" s="16" t="s">
        <v>3412</v>
      </c>
      <c r="C13" s="108" t="s">
        <v>3439</v>
      </c>
      <c r="G13" s="17"/>
      <c r="H13" s="17"/>
      <c r="I13" s="17"/>
      <c r="J13" s="17"/>
      <c r="K13" s="19"/>
      <c r="L13" s="19"/>
      <c r="M13" s="19"/>
    </row>
    <row r="14" spans="2:14" ht="12.95" customHeight="1" thickBot="1" x14ac:dyDescent="0.25">
      <c r="B14" s="20" t="s">
        <v>3413</v>
      </c>
      <c r="C14" s="108" t="s">
        <v>3440</v>
      </c>
      <c r="E14" s="17" t="s">
        <v>0</v>
      </c>
      <c r="F14" s="135" t="s">
        <v>3442</v>
      </c>
      <c r="G14" s="17"/>
      <c r="I14" s="17"/>
      <c r="J14" s="17"/>
      <c r="K14" s="19"/>
      <c r="L14" s="19"/>
      <c r="M14" s="19"/>
    </row>
    <row r="15" spans="2:14" ht="12.95" customHeight="1" thickBot="1" x14ac:dyDescent="0.25">
      <c r="B15" s="20" t="s">
        <v>3416</v>
      </c>
      <c r="C15" s="108" t="s">
        <v>3441</v>
      </c>
      <c r="E15" s="17" t="s">
        <v>26</v>
      </c>
      <c r="F15" s="112" t="s">
        <v>3423</v>
      </c>
      <c r="G15" s="17"/>
      <c r="I15" s="17"/>
      <c r="J15" s="17"/>
      <c r="K15" s="19"/>
      <c r="L15" s="19"/>
      <c r="M15" s="19"/>
    </row>
    <row r="16" spans="2:14" ht="12.95" customHeight="1" thickBot="1" x14ac:dyDescent="0.25">
      <c r="B16" s="20"/>
      <c r="E16" s="17" t="s">
        <v>3415</v>
      </c>
      <c r="F16" s="135" t="s">
        <v>3426</v>
      </c>
      <c r="I16" s="17"/>
      <c r="J16" s="17"/>
      <c r="K16" s="19"/>
      <c r="L16" s="19"/>
      <c r="M16" s="19"/>
    </row>
    <row r="17" spans="2:15" ht="12.95" customHeight="1" x14ac:dyDescent="0.2">
      <c r="B17" s="20"/>
      <c r="F17" s="79" t="s">
        <v>3427</v>
      </c>
      <c r="G17" s="17"/>
      <c r="H17" s="17"/>
      <c r="I17" s="17"/>
      <c r="J17" s="17"/>
      <c r="K17" s="19"/>
      <c r="L17" s="19"/>
      <c r="M17" s="19"/>
    </row>
    <row r="18" spans="2:15" ht="12.95" customHeight="1" x14ac:dyDescent="0.2">
      <c r="B18" s="20"/>
      <c r="F18" s="79" t="s">
        <v>3428</v>
      </c>
      <c r="G18" s="17"/>
      <c r="H18" s="17"/>
      <c r="I18" s="17"/>
      <c r="J18" s="17"/>
      <c r="K18" s="19"/>
      <c r="L18" s="19"/>
      <c r="M18" s="19"/>
    </row>
    <row r="19" spans="2:15" ht="12.95" customHeight="1" x14ac:dyDescent="0.2">
      <c r="B19" s="10"/>
      <c r="C19" s="80"/>
      <c r="D19" s="80"/>
      <c r="E19" s="111"/>
      <c r="F19" s="134" t="s">
        <v>3429</v>
      </c>
      <c r="G19" s="21"/>
      <c r="H19" s="21"/>
      <c r="I19" s="21"/>
      <c r="J19" s="21"/>
      <c r="K19" s="18"/>
      <c r="L19" s="18"/>
      <c r="M19" s="18"/>
    </row>
    <row r="20" spans="2:15" ht="12.95" customHeight="1" x14ac:dyDescent="0.2">
      <c r="B20" s="10"/>
      <c r="C20" s="80"/>
      <c r="D20" s="80"/>
      <c r="E20" s="80"/>
      <c r="F20" s="134" t="s">
        <v>3430</v>
      </c>
      <c r="G20" s="17"/>
      <c r="H20" s="17"/>
      <c r="I20" s="17"/>
      <c r="J20" s="17"/>
      <c r="K20" s="19"/>
      <c r="L20" s="19"/>
      <c r="M20" s="19"/>
    </row>
    <row r="21" spans="2:15" ht="12.95" customHeight="1" x14ac:dyDescent="0.2">
      <c r="B21" s="10"/>
      <c r="C21" s="80"/>
      <c r="D21" s="80"/>
      <c r="E21" s="80"/>
      <c r="F21" s="80"/>
      <c r="K21" s="19"/>
      <c r="L21" s="19"/>
      <c r="M21" s="19"/>
    </row>
    <row r="22" spans="2:15" ht="12.95" customHeight="1" thickBot="1" x14ac:dyDescent="0.25">
      <c r="B22" s="16"/>
      <c r="G22" s="22"/>
      <c r="H22" s="22"/>
      <c r="I22" s="22"/>
      <c r="J22" s="22"/>
      <c r="K22" s="22"/>
      <c r="L22" s="22"/>
      <c r="M22" s="22"/>
      <c r="N22" s="36"/>
      <c r="O22" s="36"/>
    </row>
    <row r="23" spans="2:15" ht="21.75" customHeight="1" thickTop="1" thickBot="1" x14ac:dyDescent="0.25">
      <c r="B23" s="23" t="s">
        <v>19</v>
      </c>
      <c r="C23" s="81" t="s">
        <v>3360</v>
      </c>
      <c r="D23" s="81" t="s">
        <v>2</v>
      </c>
      <c r="E23" s="132" t="s">
        <v>3403</v>
      </c>
      <c r="F23" s="133"/>
      <c r="G23" s="23" t="s">
        <v>3419</v>
      </c>
      <c r="H23" s="23" t="s">
        <v>20</v>
      </c>
      <c r="I23" s="23" t="s">
        <v>3420</v>
      </c>
      <c r="J23" s="23" t="s">
        <v>1044</v>
      </c>
      <c r="K23" s="23" t="s">
        <v>3402</v>
      </c>
      <c r="L23" s="23" t="s">
        <v>3406</v>
      </c>
      <c r="M23" s="23" t="s">
        <v>3404</v>
      </c>
      <c r="N23" s="24" t="s">
        <v>3405</v>
      </c>
      <c r="O23" s="24" t="s">
        <v>3421</v>
      </c>
    </row>
    <row r="24" spans="2:15" ht="44.25" customHeight="1" thickTop="1" thickBot="1" x14ac:dyDescent="0.25">
      <c r="B24" s="25">
        <v>1</v>
      </c>
      <c r="C24" s="139" t="s">
        <v>372</v>
      </c>
      <c r="D24" s="136" t="s">
        <v>3444</v>
      </c>
      <c r="E24" s="82"/>
      <c r="F24" s="82"/>
      <c r="G24" s="141">
        <v>3</v>
      </c>
      <c r="H24" s="69">
        <v>780</v>
      </c>
      <c r="I24" s="35">
        <f>H24*G24</f>
        <v>2340</v>
      </c>
      <c r="J24" s="34"/>
      <c r="K24" s="34"/>
      <c r="L24" s="34">
        <v>300</v>
      </c>
      <c r="M24" s="140" t="s">
        <v>3445</v>
      </c>
      <c r="N24" s="142">
        <v>18</v>
      </c>
      <c r="O24" s="35">
        <f>I24/N24</f>
        <v>130</v>
      </c>
    </row>
    <row r="25" spans="2:15" ht="44.25" customHeight="1" thickTop="1" thickBot="1" x14ac:dyDescent="0.25">
      <c r="B25" s="37">
        <v>2</v>
      </c>
      <c r="C25" s="139" t="s">
        <v>377</v>
      </c>
      <c r="D25" s="136" t="s">
        <v>3444</v>
      </c>
      <c r="E25" s="83"/>
      <c r="F25" s="83"/>
      <c r="G25" s="141">
        <v>1</v>
      </c>
      <c r="H25" s="69">
        <v>585</v>
      </c>
      <c r="I25" s="38">
        <f t="shared" ref="I25:I37" si="0">H25*G25</f>
        <v>585</v>
      </c>
      <c r="J25" s="37"/>
      <c r="K25" s="37"/>
      <c r="L25" s="37">
        <v>100</v>
      </c>
      <c r="M25" s="140" t="s">
        <v>3445</v>
      </c>
      <c r="N25" s="143">
        <v>4.5</v>
      </c>
      <c r="O25" s="35">
        <f t="shared" ref="O25:O27" si="1">I25/N25</f>
        <v>130</v>
      </c>
    </row>
    <row r="26" spans="2:15" ht="44.25" customHeight="1" thickTop="1" thickBot="1" x14ac:dyDescent="0.25">
      <c r="B26" s="37">
        <v>3</v>
      </c>
      <c r="C26" s="139" t="s">
        <v>375</v>
      </c>
      <c r="D26" s="136" t="s">
        <v>3444</v>
      </c>
      <c r="E26" s="83"/>
      <c r="F26" s="83"/>
      <c r="G26" s="141">
        <v>2.5</v>
      </c>
      <c r="H26" s="137">
        <v>390</v>
      </c>
      <c r="I26" s="38">
        <f t="shared" si="0"/>
        <v>975</v>
      </c>
      <c r="J26" s="37"/>
      <c r="K26" s="37"/>
      <c r="L26" s="37">
        <v>250</v>
      </c>
      <c r="M26" s="140" t="s">
        <v>3445</v>
      </c>
      <c r="N26" s="143">
        <v>7.5</v>
      </c>
      <c r="O26" s="35">
        <f t="shared" si="1"/>
        <v>130</v>
      </c>
    </row>
    <row r="27" spans="2:15" ht="23.25" customHeight="1" thickTop="1" x14ac:dyDescent="0.2">
      <c r="B27" s="37">
        <v>4</v>
      </c>
      <c r="C27" s="139" t="s">
        <v>3443</v>
      </c>
      <c r="D27" s="136" t="s">
        <v>3444</v>
      </c>
      <c r="E27" s="83"/>
      <c r="F27" s="83"/>
      <c r="G27" s="141">
        <v>1</v>
      </c>
      <c r="H27" s="137">
        <v>3</v>
      </c>
      <c r="I27" s="38">
        <v>300</v>
      </c>
      <c r="J27" s="37"/>
      <c r="K27" s="37"/>
      <c r="L27" s="37">
        <v>100</v>
      </c>
      <c r="M27" s="140" t="s">
        <v>3445</v>
      </c>
      <c r="N27" s="143">
        <v>0</v>
      </c>
      <c r="O27" s="35" t="e">
        <f>I27/N27</f>
        <v>#DIV/0!</v>
      </c>
    </row>
    <row r="28" spans="2:15" ht="23.25" customHeight="1" x14ac:dyDescent="0.2">
      <c r="B28" s="37">
        <v>5</v>
      </c>
      <c r="C28" s="83"/>
      <c r="D28" s="136"/>
      <c r="E28" s="83"/>
      <c r="F28" s="83"/>
      <c r="G28" s="37"/>
      <c r="H28" s="137"/>
      <c r="I28" s="38">
        <f t="shared" si="0"/>
        <v>0</v>
      </c>
      <c r="J28" s="37"/>
      <c r="K28" s="37"/>
      <c r="L28" s="37"/>
      <c r="M28" s="37"/>
      <c r="N28" s="72"/>
      <c r="O28" s="38"/>
    </row>
    <row r="29" spans="2:15" ht="23.25" customHeight="1" x14ac:dyDescent="0.2">
      <c r="B29" s="37">
        <v>6</v>
      </c>
      <c r="C29" s="83"/>
      <c r="D29" s="136"/>
      <c r="E29" s="83"/>
      <c r="F29" s="83"/>
      <c r="G29" s="37"/>
      <c r="H29" s="137"/>
      <c r="I29" s="38">
        <f t="shared" si="0"/>
        <v>0</v>
      </c>
      <c r="J29" s="37"/>
      <c r="K29" s="37"/>
      <c r="L29" s="37"/>
      <c r="M29" s="37"/>
      <c r="N29" s="69"/>
      <c r="O29" s="38"/>
    </row>
    <row r="30" spans="2:15" ht="23.25" customHeight="1" x14ac:dyDescent="0.2">
      <c r="B30" s="37">
        <v>7</v>
      </c>
      <c r="C30" s="83"/>
      <c r="D30" s="136"/>
      <c r="E30" s="83"/>
      <c r="F30" s="83"/>
      <c r="G30" s="37"/>
      <c r="H30" s="69"/>
      <c r="I30" s="38">
        <f t="shared" si="0"/>
        <v>0</v>
      </c>
      <c r="J30" s="37"/>
      <c r="K30" s="37"/>
      <c r="L30" s="37"/>
      <c r="N30" s="72"/>
      <c r="O30" s="38"/>
    </row>
    <row r="31" spans="2:15" ht="23.25" customHeight="1" x14ac:dyDescent="0.2">
      <c r="B31" s="37">
        <v>8</v>
      </c>
      <c r="C31" s="83"/>
      <c r="D31" s="138"/>
      <c r="E31" s="83"/>
      <c r="F31" s="83"/>
      <c r="G31" s="37"/>
      <c r="H31" s="25"/>
      <c r="I31" s="38">
        <f t="shared" si="0"/>
        <v>0</v>
      </c>
      <c r="J31" s="37"/>
      <c r="K31" s="37"/>
      <c r="L31" s="37"/>
      <c r="M31" s="37"/>
      <c r="N31" s="69"/>
      <c r="O31" s="38"/>
    </row>
    <row r="32" spans="2:15" ht="23.25" customHeight="1" x14ac:dyDescent="0.2">
      <c r="B32" s="37">
        <v>9</v>
      </c>
      <c r="C32" s="83"/>
      <c r="D32" s="83"/>
      <c r="E32" s="83"/>
      <c r="F32" s="83"/>
      <c r="G32" s="37"/>
      <c r="H32" s="37"/>
      <c r="I32" s="38">
        <f t="shared" si="0"/>
        <v>0</v>
      </c>
      <c r="J32" s="37"/>
      <c r="K32" s="37"/>
      <c r="L32" s="37"/>
      <c r="M32" s="37"/>
      <c r="N32" s="69"/>
      <c r="O32" s="38"/>
    </row>
    <row r="33" spans="2:18" ht="23.25" customHeight="1" x14ac:dyDescent="0.2">
      <c r="B33" s="37">
        <v>10</v>
      </c>
      <c r="C33" s="83"/>
      <c r="D33" s="83"/>
      <c r="E33" s="83"/>
      <c r="F33" s="83"/>
      <c r="G33" s="37"/>
      <c r="H33" s="37"/>
      <c r="I33" s="38">
        <f t="shared" si="0"/>
        <v>0</v>
      </c>
      <c r="J33" s="37"/>
      <c r="K33" s="37"/>
      <c r="L33" s="37"/>
      <c r="M33" s="37"/>
      <c r="N33" s="69"/>
      <c r="O33" s="38"/>
    </row>
    <row r="34" spans="2:18" ht="23.25" customHeight="1" x14ac:dyDescent="0.25">
      <c r="B34" s="70">
        <v>11</v>
      </c>
      <c r="C34" s="102"/>
      <c r="D34" s="102"/>
      <c r="E34" s="102"/>
      <c r="F34" s="102"/>
      <c r="G34" s="103"/>
      <c r="H34" s="37"/>
      <c r="I34" s="105">
        <f t="shared" si="0"/>
        <v>0</v>
      </c>
      <c r="J34" s="37"/>
      <c r="K34" s="103"/>
      <c r="L34" s="103"/>
      <c r="M34" s="103"/>
      <c r="N34" s="104"/>
      <c r="O34" s="105"/>
    </row>
    <row r="35" spans="2:18" ht="23.25" customHeight="1" x14ac:dyDescent="0.25">
      <c r="B35" s="70">
        <v>12</v>
      </c>
      <c r="C35" s="102"/>
      <c r="D35" s="102"/>
      <c r="E35" s="102"/>
      <c r="F35" s="102"/>
      <c r="G35" s="103"/>
      <c r="H35" s="37"/>
      <c r="I35" s="105">
        <f t="shared" si="0"/>
        <v>0</v>
      </c>
      <c r="J35" s="37"/>
      <c r="K35" s="103"/>
      <c r="L35" s="103"/>
      <c r="M35" s="103"/>
      <c r="N35" s="104"/>
      <c r="O35" s="105"/>
    </row>
    <row r="36" spans="2:18" ht="23.25" customHeight="1" x14ac:dyDescent="0.25">
      <c r="B36" s="70">
        <v>13</v>
      </c>
      <c r="C36" s="102"/>
      <c r="D36" s="102"/>
      <c r="E36" s="102"/>
      <c r="F36" s="102"/>
      <c r="G36" s="103"/>
      <c r="H36" s="37"/>
      <c r="I36" s="105">
        <f t="shared" si="0"/>
        <v>0</v>
      </c>
      <c r="J36" s="37"/>
      <c r="K36" s="103"/>
      <c r="L36" s="103"/>
      <c r="M36" s="103"/>
      <c r="N36" s="104"/>
      <c r="O36" s="105"/>
    </row>
    <row r="37" spans="2:18" ht="23.25" customHeight="1" x14ac:dyDescent="0.25">
      <c r="B37" s="71">
        <v>14</v>
      </c>
      <c r="C37" s="102"/>
      <c r="D37" s="102"/>
      <c r="E37" s="102"/>
      <c r="F37" s="102"/>
      <c r="G37" s="103"/>
      <c r="H37" s="37"/>
      <c r="I37" s="106">
        <f t="shared" si="0"/>
        <v>0</v>
      </c>
      <c r="J37" s="37"/>
      <c r="K37" s="103"/>
      <c r="L37" s="103"/>
      <c r="M37" s="103"/>
      <c r="N37" s="104"/>
      <c r="O37" s="106"/>
    </row>
    <row r="38" spans="2:18" ht="12.75" thickBot="1" x14ac:dyDescent="0.25">
      <c r="B38" s="26"/>
      <c r="C38" s="84"/>
      <c r="D38" s="84"/>
      <c r="E38" s="84"/>
      <c r="F38" s="84"/>
      <c r="G38" s="26"/>
      <c r="H38" s="26"/>
      <c r="I38" s="26"/>
      <c r="J38" s="26"/>
      <c r="K38" s="26"/>
      <c r="L38" s="26"/>
      <c r="M38" s="26"/>
      <c r="N38" s="27"/>
      <c r="O38" s="28"/>
    </row>
    <row r="39" spans="2:18" ht="13.5" thickTop="1" thickBot="1" x14ac:dyDescent="0.25">
      <c r="B39" s="14"/>
      <c r="C39" s="85"/>
      <c r="D39" s="85"/>
      <c r="E39" s="85"/>
      <c r="F39" s="85"/>
      <c r="G39" s="14"/>
      <c r="H39" s="15" t="s">
        <v>21</v>
      </c>
      <c r="I39" s="13">
        <f>SUM(I24:I37)</f>
        <v>4200</v>
      </c>
      <c r="J39" s="14"/>
      <c r="K39" s="14"/>
      <c r="L39" s="14"/>
      <c r="M39" s="14"/>
    </row>
    <row r="40" spans="2:18" ht="12.75" thickBot="1" x14ac:dyDescent="0.25">
      <c r="B40" s="14"/>
      <c r="C40" s="86" t="s">
        <v>28</v>
      </c>
      <c r="D40" s="86"/>
      <c r="E40" s="86"/>
      <c r="F40" s="86"/>
      <c r="G40" s="14"/>
      <c r="H40" s="15" t="s">
        <v>27</v>
      </c>
      <c r="I40" s="13"/>
      <c r="J40" s="14"/>
      <c r="K40" s="14"/>
      <c r="L40" s="115" t="s">
        <v>3431</v>
      </c>
      <c r="M40" s="14"/>
    </row>
    <row r="41" spans="2:18" ht="12.75" thickBot="1" x14ac:dyDescent="0.25">
      <c r="B41" s="14"/>
      <c r="C41" s="86" t="s">
        <v>3433</v>
      </c>
      <c r="D41" s="86"/>
      <c r="E41" s="86"/>
      <c r="F41" s="86"/>
      <c r="G41" s="14"/>
      <c r="H41" s="15" t="s">
        <v>23</v>
      </c>
      <c r="I41" s="13">
        <f>+I39-I40</f>
        <v>4200</v>
      </c>
      <c r="J41" s="14"/>
      <c r="K41" s="14"/>
      <c r="L41" s="10" t="s">
        <v>3417</v>
      </c>
      <c r="M41" s="14"/>
    </row>
    <row r="42" spans="2:18" ht="12.75" thickBot="1" x14ac:dyDescent="0.25">
      <c r="B42" s="14"/>
      <c r="C42" s="110" t="s">
        <v>3432</v>
      </c>
      <c r="D42" s="87"/>
      <c r="E42" s="87"/>
      <c r="F42" s="87"/>
      <c r="G42" s="14"/>
      <c r="H42" s="15" t="s">
        <v>24</v>
      </c>
      <c r="I42" s="13">
        <f>+I41*0.16</f>
        <v>672</v>
      </c>
      <c r="J42" s="14"/>
      <c r="K42" s="14"/>
      <c r="L42" s="14"/>
      <c r="M42" s="14"/>
      <c r="R42" s="33"/>
    </row>
    <row r="43" spans="2:18" ht="12.75" thickBot="1" x14ac:dyDescent="0.25">
      <c r="B43" s="14"/>
      <c r="C43" s="111" t="s">
        <v>3410</v>
      </c>
      <c r="D43" s="78"/>
      <c r="E43" s="78"/>
      <c r="F43" s="78"/>
      <c r="G43" s="14"/>
      <c r="H43" s="15" t="s">
        <v>25</v>
      </c>
      <c r="I43" s="113">
        <f>+I41+I42</f>
        <v>4872</v>
      </c>
      <c r="J43" s="14"/>
      <c r="K43" s="14"/>
      <c r="L43" s="14"/>
      <c r="M43" s="14"/>
    </row>
    <row r="44" spans="2:18" ht="12" x14ac:dyDescent="0.2">
      <c r="B44" s="14"/>
      <c r="C44" s="78"/>
      <c r="D44" s="78"/>
      <c r="E44" s="78"/>
      <c r="F44" s="78"/>
      <c r="G44" s="14"/>
      <c r="H44" s="14"/>
      <c r="I44" s="14"/>
      <c r="J44" s="14"/>
      <c r="K44" s="14"/>
      <c r="L44" s="14"/>
      <c r="M44" s="14"/>
      <c r="N44" s="14"/>
    </row>
    <row r="45" spans="2:18" ht="12" x14ac:dyDescent="0.2">
      <c r="B45" s="14"/>
      <c r="C45" s="88" t="s">
        <v>22</v>
      </c>
      <c r="D45" s="88"/>
      <c r="E45" s="88"/>
      <c r="F45" s="88"/>
      <c r="G45" s="14"/>
      <c r="H45" s="14"/>
      <c r="I45" s="14"/>
      <c r="J45" s="14"/>
      <c r="K45" s="29"/>
      <c r="L45" s="29"/>
      <c r="M45" s="29"/>
      <c r="N45" s="30"/>
    </row>
    <row r="46" spans="2:18" ht="12" x14ac:dyDescent="0.2">
      <c r="B46" s="14"/>
      <c r="C46" s="88" t="s">
        <v>3446</v>
      </c>
      <c r="D46" s="88"/>
      <c r="E46" s="88"/>
      <c r="F46" s="88"/>
      <c r="G46" s="14"/>
      <c r="H46" s="14"/>
      <c r="I46" s="14"/>
      <c r="J46" s="14"/>
      <c r="K46" s="29"/>
      <c r="L46" s="29"/>
      <c r="M46" s="29"/>
      <c r="N46" s="14"/>
    </row>
    <row r="47" spans="2:18" ht="12" x14ac:dyDescent="0.2">
      <c r="B47" s="14"/>
      <c r="C47" s="88"/>
      <c r="D47" s="88"/>
      <c r="E47" s="88"/>
      <c r="F47" s="88"/>
      <c r="G47" s="14"/>
      <c r="H47" s="14"/>
      <c r="I47" s="14"/>
      <c r="J47" s="14"/>
      <c r="K47" s="29"/>
      <c r="L47" s="29"/>
      <c r="M47" s="29"/>
      <c r="N47" s="14"/>
    </row>
    <row r="48" spans="2:18" ht="12.95" customHeight="1" x14ac:dyDescent="0.2">
      <c r="B48" s="14"/>
      <c r="C48" s="78"/>
      <c r="D48" s="78"/>
      <c r="E48" s="78"/>
      <c r="F48" s="78"/>
      <c r="G48" s="14"/>
      <c r="H48" s="14"/>
      <c r="I48" s="14"/>
      <c r="J48" s="14"/>
      <c r="K48" s="14"/>
      <c r="L48" s="14"/>
      <c r="M48" s="14"/>
      <c r="N48" s="14"/>
    </row>
    <row r="49" spans="2:14" ht="12.95" customHeight="1" x14ac:dyDescent="0.2">
      <c r="B49" s="14"/>
      <c r="C49" s="78"/>
      <c r="D49" s="78"/>
      <c r="E49" s="78"/>
      <c r="F49" s="78"/>
      <c r="G49" s="14"/>
      <c r="H49" s="14"/>
      <c r="I49" s="14"/>
      <c r="J49" s="14"/>
      <c r="K49" s="14"/>
      <c r="L49" s="14"/>
      <c r="M49" s="14"/>
      <c r="N49" s="32"/>
    </row>
    <row r="50" spans="2:14" ht="12.95" customHeight="1" x14ac:dyDescent="0.2">
      <c r="B50" s="14"/>
      <c r="G50" s="14"/>
      <c r="H50" s="14"/>
      <c r="I50" s="14"/>
      <c r="J50" s="14"/>
      <c r="K50" s="14"/>
      <c r="L50" s="14"/>
      <c r="M50" s="14"/>
      <c r="N50" s="32"/>
    </row>
    <row r="51" spans="2:14" ht="12.95" customHeight="1" x14ac:dyDescent="0.2">
      <c r="B51" s="14"/>
      <c r="G51" s="14"/>
      <c r="H51" s="14"/>
      <c r="I51" s="14"/>
      <c r="J51" s="14"/>
      <c r="K51" s="14"/>
      <c r="L51" s="14"/>
      <c r="M51" s="14"/>
      <c r="N51" s="32"/>
    </row>
    <row r="52" spans="2:14" ht="12.95" customHeight="1" x14ac:dyDescent="0.2">
      <c r="B52" s="14"/>
      <c r="C52" s="89"/>
      <c r="D52" s="89"/>
      <c r="E52" s="89"/>
      <c r="F52" s="89"/>
      <c r="G52" s="31"/>
      <c r="H52" s="31"/>
      <c r="I52" s="31"/>
      <c r="J52" s="31"/>
      <c r="K52" s="31"/>
      <c r="L52" s="31"/>
      <c r="M52" s="31"/>
      <c r="N52" s="32"/>
    </row>
    <row r="53" spans="2:14" ht="12.95" customHeight="1" x14ac:dyDescent="0.2">
      <c r="B53" s="14"/>
      <c r="C53" s="89"/>
      <c r="D53" s="89"/>
      <c r="E53" s="89"/>
      <c r="F53" s="89"/>
      <c r="G53" s="31"/>
      <c r="H53" s="31"/>
      <c r="I53" s="31"/>
      <c r="J53" s="31"/>
      <c r="K53" s="31"/>
      <c r="L53" s="31"/>
      <c r="M53" s="31"/>
      <c r="N53" s="32"/>
    </row>
    <row r="54" spans="2:14" ht="12.95" customHeight="1" x14ac:dyDescent="0.2">
      <c r="B54" s="14"/>
      <c r="C54" s="89"/>
      <c r="D54" s="89"/>
      <c r="E54" s="89"/>
      <c r="F54" s="89"/>
      <c r="G54" s="31"/>
      <c r="H54" s="31"/>
      <c r="I54" s="31"/>
      <c r="J54" s="31"/>
      <c r="K54" s="31"/>
      <c r="L54" s="31"/>
      <c r="M54" s="31"/>
      <c r="N54" s="32"/>
    </row>
    <row r="55" spans="2:14" ht="12.95" customHeight="1" x14ac:dyDescent="0.2">
      <c r="B55" s="14"/>
      <c r="C55" s="89"/>
      <c r="D55" s="89"/>
      <c r="E55" s="89"/>
      <c r="F55" s="89"/>
      <c r="G55" s="31"/>
      <c r="H55" s="31"/>
      <c r="I55" s="31"/>
      <c r="J55" s="31"/>
      <c r="K55" s="31"/>
      <c r="L55" s="31"/>
      <c r="M55" s="31"/>
      <c r="N55" s="32"/>
    </row>
    <row r="56" spans="2:14" ht="12.95" customHeight="1" x14ac:dyDescent="0.2">
      <c r="B56" s="14"/>
      <c r="C56" s="89"/>
      <c r="D56" s="89"/>
      <c r="E56" s="89"/>
      <c r="F56" s="89"/>
      <c r="G56" s="31"/>
      <c r="H56" s="31"/>
      <c r="I56" s="31"/>
      <c r="J56" s="31"/>
      <c r="K56" s="31"/>
      <c r="L56" s="31"/>
      <c r="M56" s="31"/>
      <c r="N56" s="32"/>
    </row>
    <row r="57" spans="2:14" ht="12.95" customHeight="1" x14ac:dyDescent="0.2">
      <c r="B57" s="14"/>
      <c r="C57" s="89"/>
      <c r="D57" s="89"/>
      <c r="E57" s="89"/>
      <c r="F57" s="89"/>
      <c r="G57" s="31"/>
      <c r="H57" s="31"/>
      <c r="I57" s="31"/>
      <c r="J57" s="31"/>
      <c r="K57" s="31"/>
      <c r="L57" s="31"/>
      <c r="M57" s="31"/>
      <c r="N57" s="32"/>
    </row>
    <row r="58" spans="2:14" ht="12.95" customHeight="1" x14ac:dyDescent="0.2">
      <c r="B58" s="14"/>
      <c r="C58" s="89"/>
      <c r="D58" s="89"/>
      <c r="E58" s="89"/>
      <c r="F58" s="89"/>
      <c r="G58" s="31"/>
      <c r="H58" s="31"/>
      <c r="I58" s="31"/>
      <c r="J58" s="31"/>
      <c r="K58" s="31"/>
      <c r="L58" s="31"/>
      <c r="M58" s="31"/>
      <c r="N58" s="32"/>
    </row>
    <row r="59" spans="2:14" ht="12.95" customHeight="1" x14ac:dyDescent="0.2">
      <c r="B59" s="14"/>
      <c r="C59" s="89"/>
      <c r="D59" s="89"/>
      <c r="E59" s="89"/>
      <c r="F59" s="89"/>
      <c r="G59" s="31"/>
      <c r="H59" s="31"/>
      <c r="I59" s="31"/>
      <c r="J59" s="31"/>
      <c r="K59" s="31"/>
      <c r="L59" s="31"/>
      <c r="M59" s="31"/>
      <c r="N59" s="32"/>
    </row>
    <row r="60" spans="2:14" ht="12.95" customHeight="1" x14ac:dyDescent="0.2">
      <c r="B60" s="14"/>
      <c r="C60" s="89"/>
      <c r="D60" s="89"/>
      <c r="E60" s="89"/>
      <c r="F60" s="89"/>
      <c r="G60" s="31"/>
      <c r="H60" s="31"/>
      <c r="I60" s="31"/>
      <c r="J60" s="31"/>
      <c r="K60" s="31"/>
      <c r="L60" s="31"/>
      <c r="M60" s="31"/>
      <c r="N60" s="32"/>
    </row>
    <row r="61" spans="2:14" ht="12.95" customHeight="1" x14ac:dyDescent="0.2">
      <c r="B61" s="14"/>
      <c r="C61" s="89"/>
      <c r="D61" s="89"/>
      <c r="E61" s="89"/>
      <c r="F61" s="89"/>
      <c r="G61" s="31"/>
      <c r="H61" s="31"/>
      <c r="I61" s="31"/>
      <c r="J61" s="31"/>
      <c r="K61" s="31"/>
      <c r="L61" s="31"/>
      <c r="M61" s="31"/>
      <c r="N61" s="32"/>
    </row>
    <row r="62" spans="2:14" ht="12.95" customHeight="1" x14ac:dyDescent="0.2">
      <c r="B62" s="14"/>
      <c r="C62" s="89"/>
      <c r="D62" s="89"/>
      <c r="E62" s="89"/>
      <c r="F62" s="89"/>
      <c r="G62" s="31"/>
      <c r="H62" s="31"/>
      <c r="I62" s="31"/>
      <c r="J62" s="31"/>
      <c r="K62" s="31"/>
      <c r="L62" s="31"/>
      <c r="M62" s="31"/>
      <c r="N62" s="32"/>
    </row>
    <row r="63" spans="2:14" ht="12.95" customHeight="1" x14ac:dyDescent="0.2">
      <c r="B63" s="14"/>
      <c r="C63" s="89"/>
      <c r="D63" s="89"/>
      <c r="E63" s="89"/>
      <c r="F63" s="89"/>
      <c r="G63" s="31"/>
      <c r="H63" s="31"/>
      <c r="I63" s="31"/>
      <c r="J63" s="31"/>
      <c r="K63" s="31"/>
      <c r="L63" s="31"/>
      <c r="M63" s="31"/>
      <c r="N63" s="32"/>
    </row>
    <row r="64" spans="2:14" ht="12.95" customHeight="1" x14ac:dyDescent="0.2">
      <c r="B64" s="14"/>
      <c r="C64" s="89"/>
      <c r="D64" s="89"/>
      <c r="E64" s="89"/>
      <c r="F64" s="89"/>
      <c r="G64" s="31"/>
      <c r="H64" s="31"/>
      <c r="I64" s="31"/>
      <c r="J64" s="31"/>
      <c r="K64" s="31"/>
      <c r="L64" s="31"/>
      <c r="M64" s="31"/>
      <c r="N64" s="32"/>
    </row>
    <row r="65" spans="2:14" ht="12.95" customHeight="1" x14ac:dyDescent="0.2">
      <c r="B65" s="14"/>
      <c r="C65" s="89"/>
      <c r="D65" s="89"/>
      <c r="E65" s="89"/>
      <c r="F65" s="89"/>
      <c r="G65" s="31"/>
      <c r="H65" s="31"/>
      <c r="I65" s="31"/>
      <c r="J65" s="31"/>
      <c r="K65" s="31"/>
      <c r="L65" s="31"/>
      <c r="M65" s="31"/>
      <c r="N65" s="32"/>
    </row>
    <row r="66" spans="2:14" ht="12.95" customHeight="1" x14ac:dyDescent="0.2">
      <c r="B66" s="14"/>
      <c r="C66" s="89"/>
      <c r="D66" s="89"/>
      <c r="E66" s="89"/>
      <c r="F66" s="89"/>
      <c r="G66" s="31"/>
      <c r="H66" s="31"/>
      <c r="I66" s="31"/>
      <c r="J66" s="31"/>
      <c r="K66" s="31"/>
      <c r="L66" s="31"/>
      <c r="M66" s="31"/>
      <c r="N66" s="32"/>
    </row>
    <row r="67" spans="2:14" ht="12.95" customHeight="1" x14ac:dyDescent="0.2">
      <c r="B67" s="14"/>
      <c r="C67" s="89"/>
      <c r="D67" s="89"/>
      <c r="E67" s="89"/>
      <c r="F67" s="89"/>
      <c r="G67" s="31"/>
      <c r="H67" s="31"/>
      <c r="I67" s="31"/>
      <c r="J67" s="31"/>
      <c r="K67" s="31"/>
      <c r="L67" s="31"/>
      <c r="M67" s="31"/>
      <c r="N67" s="32"/>
    </row>
    <row r="68" spans="2:14" ht="12.95" customHeight="1" x14ac:dyDescent="0.2">
      <c r="B68" s="14"/>
      <c r="C68" s="89"/>
      <c r="D68" s="89"/>
      <c r="E68" s="89"/>
      <c r="F68" s="89"/>
      <c r="G68" s="31"/>
      <c r="H68" s="31"/>
      <c r="I68" s="31"/>
      <c r="J68" s="31"/>
      <c r="K68" s="31"/>
      <c r="L68" s="31"/>
      <c r="M68" s="31"/>
      <c r="N68" s="32"/>
    </row>
    <row r="69" spans="2:14" ht="12.95" customHeight="1" x14ac:dyDescent="0.2">
      <c r="B69" s="14"/>
      <c r="C69" s="89"/>
      <c r="D69" s="89"/>
      <c r="E69" s="89"/>
      <c r="F69" s="89"/>
      <c r="G69" s="31"/>
      <c r="H69" s="31"/>
      <c r="I69" s="31"/>
      <c r="J69" s="31"/>
      <c r="K69" s="31"/>
      <c r="L69" s="31"/>
      <c r="M69" s="31"/>
      <c r="N69" s="32"/>
    </row>
    <row r="70" spans="2:14" ht="12.95" customHeight="1" x14ac:dyDescent="0.2">
      <c r="B70" s="14"/>
      <c r="C70" s="89"/>
      <c r="D70" s="89"/>
      <c r="E70" s="89"/>
      <c r="F70" s="89"/>
      <c r="G70" s="31"/>
      <c r="H70" s="31"/>
      <c r="I70" s="31"/>
      <c r="J70" s="31"/>
      <c r="K70" s="31"/>
      <c r="L70" s="31"/>
      <c r="M70" s="31"/>
      <c r="N70" s="32"/>
    </row>
    <row r="71" spans="2:14" ht="12.95" customHeight="1" x14ac:dyDescent="0.2">
      <c r="B71" s="14"/>
      <c r="C71" s="89"/>
      <c r="D71" s="89"/>
      <c r="E71" s="89"/>
      <c r="F71" s="89"/>
      <c r="G71" s="31"/>
      <c r="H71" s="31"/>
      <c r="I71" s="31"/>
      <c r="J71" s="31"/>
      <c r="K71" s="31"/>
      <c r="L71" s="31"/>
      <c r="M71" s="31"/>
      <c r="N71" s="32"/>
    </row>
    <row r="72" spans="2:14" ht="12.95" customHeight="1" x14ac:dyDescent="0.2">
      <c r="B72" s="14"/>
      <c r="C72" s="89"/>
      <c r="D72" s="89"/>
      <c r="E72" s="89"/>
      <c r="F72" s="89"/>
      <c r="G72" s="31"/>
      <c r="H72" s="31"/>
      <c r="I72" s="31"/>
      <c r="J72" s="31"/>
      <c r="K72" s="31"/>
      <c r="L72" s="31"/>
      <c r="M72" s="31"/>
      <c r="N72" s="32"/>
    </row>
    <row r="73" spans="2:14" ht="12.95" customHeight="1" x14ac:dyDescent="0.2">
      <c r="B73" s="14"/>
      <c r="C73" s="89"/>
      <c r="D73" s="89"/>
      <c r="E73" s="89"/>
      <c r="F73" s="89"/>
      <c r="G73" s="31"/>
      <c r="H73" s="31"/>
      <c r="I73" s="31"/>
      <c r="J73" s="31"/>
      <c r="K73" s="31"/>
      <c r="L73" s="31"/>
      <c r="M73" s="31"/>
      <c r="N73" s="32"/>
    </row>
    <row r="74" spans="2:14" ht="12.95" customHeight="1" x14ac:dyDescent="0.2">
      <c r="B74" s="14"/>
      <c r="C74" s="89"/>
      <c r="D74" s="89"/>
      <c r="E74" s="89"/>
      <c r="F74" s="89"/>
      <c r="G74" s="31"/>
      <c r="H74" s="31"/>
      <c r="I74" s="31"/>
      <c r="J74" s="31"/>
      <c r="K74" s="31"/>
      <c r="L74" s="31"/>
      <c r="M74" s="31"/>
      <c r="N74" s="32"/>
    </row>
    <row r="75" spans="2:14" ht="12.95" customHeight="1" x14ac:dyDescent="0.2">
      <c r="B75" s="14"/>
      <c r="C75" s="89"/>
      <c r="D75" s="89"/>
      <c r="E75" s="89"/>
      <c r="F75" s="89"/>
      <c r="G75" s="31"/>
      <c r="H75" s="31"/>
      <c r="I75" s="31"/>
      <c r="J75" s="31"/>
      <c r="K75" s="31"/>
      <c r="L75" s="31"/>
      <c r="M75" s="31"/>
      <c r="N75" s="32"/>
    </row>
    <row r="76" spans="2:14" ht="12.95" customHeight="1" x14ac:dyDescent="0.2">
      <c r="B76" s="14"/>
      <c r="C76" s="89"/>
      <c r="D76" s="89"/>
      <c r="E76" s="89"/>
      <c r="F76" s="89"/>
      <c r="G76" s="31"/>
      <c r="H76" s="31"/>
      <c r="I76" s="31"/>
      <c r="J76" s="31"/>
      <c r="K76" s="31"/>
      <c r="L76" s="31"/>
      <c r="M76" s="31"/>
      <c r="N76" s="32"/>
    </row>
    <row r="77" spans="2:14" ht="12.95" customHeight="1" x14ac:dyDescent="0.2">
      <c r="B77" s="14"/>
      <c r="C77" s="89"/>
      <c r="D77" s="89"/>
      <c r="E77" s="89"/>
      <c r="F77" s="89"/>
      <c r="G77" s="31"/>
      <c r="H77" s="31"/>
      <c r="I77" s="31"/>
      <c r="J77" s="31"/>
      <c r="K77" s="31"/>
      <c r="L77" s="31"/>
      <c r="M77" s="31"/>
      <c r="N77" s="32"/>
    </row>
    <row r="78" spans="2:14" ht="12.95" customHeight="1" x14ac:dyDescent="0.2">
      <c r="B78" s="14"/>
      <c r="C78" s="89"/>
      <c r="D78" s="89"/>
      <c r="E78" s="89"/>
      <c r="F78" s="89"/>
      <c r="G78" s="31"/>
      <c r="H78" s="31"/>
      <c r="I78" s="31"/>
      <c r="J78" s="31"/>
      <c r="K78" s="31"/>
      <c r="L78" s="31"/>
      <c r="M78" s="31"/>
      <c r="N78" s="32"/>
    </row>
    <row r="79" spans="2:14" ht="12.95" customHeight="1" x14ac:dyDescent="0.2">
      <c r="B79" s="14"/>
      <c r="C79" s="89"/>
      <c r="D79" s="89"/>
      <c r="E79" s="89"/>
      <c r="F79" s="89"/>
      <c r="G79" s="31"/>
      <c r="H79" s="31"/>
      <c r="I79" s="31"/>
      <c r="J79" s="31"/>
      <c r="K79" s="31"/>
      <c r="L79" s="31"/>
      <c r="M79" s="31"/>
      <c r="N79" s="32"/>
    </row>
    <row r="80" spans="2:14" ht="12.95" customHeight="1" x14ac:dyDescent="0.2">
      <c r="B80" s="14"/>
      <c r="C80" s="89"/>
      <c r="D80" s="89"/>
      <c r="E80" s="89"/>
      <c r="F80" s="89"/>
      <c r="G80" s="31"/>
      <c r="H80" s="31"/>
      <c r="I80" s="31"/>
      <c r="J80" s="31"/>
      <c r="K80" s="31"/>
      <c r="L80" s="31"/>
      <c r="M80" s="31"/>
      <c r="N80" s="32"/>
    </row>
    <row r="81" spans="2:14" ht="12.95" customHeight="1" x14ac:dyDescent="0.2">
      <c r="B81" s="14"/>
      <c r="C81" s="89"/>
      <c r="D81" s="89"/>
      <c r="E81" s="89"/>
      <c r="F81" s="89"/>
      <c r="G81" s="31"/>
      <c r="H81" s="31"/>
      <c r="I81" s="31"/>
      <c r="J81" s="31"/>
      <c r="K81" s="31"/>
      <c r="L81" s="31"/>
      <c r="M81" s="31"/>
      <c r="N81" s="32"/>
    </row>
    <row r="82" spans="2:14" ht="12.95" customHeight="1" x14ac:dyDescent="0.2">
      <c r="B82" s="14"/>
      <c r="C82" s="89"/>
      <c r="D82" s="89"/>
      <c r="E82" s="89"/>
      <c r="F82" s="89"/>
      <c r="G82" s="31"/>
      <c r="H82" s="31"/>
      <c r="I82" s="31"/>
      <c r="J82" s="31"/>
      <c r="K82" s="31"/>
      <c r="L82" s="31"/>
      <c r="M82" s="31"/>
      <c r="N82" s="32"/>
    </row>
    <row r="83" spans="2:14" ht="12.95" customHeight="1" x14ac:dyDescent="0.2">
      <c r="B83" s="14"/>
      <c r="C83" s="89"/>
      <c r="D83" s="89"/>
      <c r="E83" s="89"/>
      <c r="F83" s="89"/>
      <c r="G83" s="31"/>
      <c r="H83" s="31"/>
      <c r="I83" s="31"/>
      <c r="J83" s="31"/>
      <c r="K83" s="31"/>
      <c r="L83" s="31"/>
      <c r="M83" s="31"/>
      <c r="N83" s="32"/>
    </row>
    <row r="84" spans="2:14" ht="12.95" customHeight="1" x14ac:dyDescent="0.2">
      <c r="B84" s="14"/>
      <c r="C84" s="89"/>
      <c r="D84" s="89"/>
      <c r="E84" s="89"/>
      <c r="F84" s="89"/>
      <c r="G84" s="31"/>
      <c r="H84" s="31"/>
      <c r="I84" s="31"/>
      <c r="J84" s="31"/>
      <c r="K84" s="31"/>
      <c r="L84" s="31"/>
      <c r="M84" s="31"/>
      <c r="N84" s="32"/>
    </row>
    <row r="85" spans="2:14" ht="12.95" customHeight="1" x14ac:dyDescent="0.2">
      <c r="B85" s="14"/>
      <c r="C85" s="89"/>
      <c r="D85" s="89"/>
      <c r="E85" s="89"/>
      <c r="F85" s="89"/>
      <c r="G85" s="31"/>
      <c r="H85" s="31"/>
      <c r="I85" s="31"/>
      <c r="J85" s="31"/>
      <c r="K85" s="31"/>
      <c r="L85" s="31"/>
      <c r="M85" s="31"/>
      <c r="N85" s="32"/>
    </row>
    <row r="86" spans="2:14" ht="12.95" customHeight="1" x14ac:dyDescent="0.2">
      <c r="B86" s="14"/>
      <c r="C86" s="89"/>
      <c r="D86" s="89"/>
      <c r="E86" s="89"/>
      <c r="F86" s="89"/>
      <c r="G86" s="31"/>
      <c r="H86" s="31"/>
      <c r="I86" s="31"/>
      <c r="J86" s="31"/>
      <c r="K86" s="31"/>
      <c r="L86" s="31"/>
      <c r="M86" s="31"/>
      <c r="N86" s="32"/>
    </row>
    <row r="87" spans="2:14" ht="12.95" customHeight="1" x14ac:dyDescent="0.2">
      <c r="B87" s="14"/>
      <c r="C87" s="89"/>
      <c r="D87" s="89"/>
      <c r="E87" s="89"/>
      <c r="F87" s="89"/>
      <c r="G87" s="31"/>
      <c r="H87" s="31"/>
      <c r="I87" s="31"/>
      <c r="J87" s="31"/>
      <c r="K87" s="31"/>
      <c r="L87" s="31"/>
      <c r="M87" s="31"/>
      <c r="N87" s="32"/>
    </row>
    <row r="88" spans="2:14" ht="12.95" customHeight="1" x14ac:dyDescent="0.2">
      <c r="B88" s="14"/>
      <c r="C88" s="89"/>
      <c r="D88" s="89"/>
      <c r="E88" s="89"/>
      <c r="F88" s="89"/>
      <c r="G88" s="31"/>
      <c r="H88" s="31"/>
      <c r="I88" s="31"/>
      <c r="J88" s="31"/>
      <c r="K88" s="31"/>
      <c r="L88" s="31"/>
      <c r="M88" s="31"/>
      <c r="N88" s="32"/>
    </row>
    <row r="89" spans="2:14" ht="12.95" customHeight="1" x14ac:dyDescent="0.2">
      <c r="B89" s="14"/>
      <c r="C89" s="89"/>
      <c r="D89" s="89"/>
      <c r="E89" s="89"/>
      <c r="F89" s="89"/>
      <c r="G89" s="31"/>
      <c r="H89" s="31"/>
      <c r="I89" s="31"/>
      <c r="J89" s="31"/>
      <c r="K89" s="31"/>
      <c r="L89" s="31"/>
      <c r="M89" s="31"/>
      <c r="N89" s="32"/>
    </row>
    <row r="90" spans="2:14" ht="12.95" customHeight="1" x14ac:dyDescent="0.2">
      <c r="B90" s="14"/>
      <c r="C90" s="89"/>
      <c r="D90" s="89"/>
      <c r="E90" s="89"/>
      <c r="F90" s="89"/>
      <c r="G90" s="31"/>
      <c r="H90" s="31"/>
      <c r="I90" s="31"/>
      <c r="J90" s="31"/>
      <c r="K90" s="31"/>
      <c r="L90" s="31"/>
      <c r="M90" s="31"/>
      <c r="N90" s="32"/>
    </row>
    <row r="91" spans="2:14" ht="12.95" customHeight="1" x14ac:dyDescent="0.2">
      <c r="B91" s="14"/>
      <c r="C91" s="89"/>
      <c r="D91" s="89"/>
      <c r="E91" s="89"/>
      <c r="F91" s="89"/>
      <c r="G91" s="31"/>
      <c r="H91" s="31"/>
      <c r="I91" s="31"/>
      <c r="J91" s="31"/>
      <c r="K91" s="31"/>
      <c r="L91" s="31"/>
      <c r="M91" s="31"/>
      <c r="N91" s="32"/>
    </row>
    <row r="92" spans="2:14" ht="12.95" customHeight="1" x14ac:dyDescent="0.2">
      <c r="B92" s="14"/>
      <c r="C92" s="89"/>
      <c r="D92" s="89"/>
      <c r="E92" s="89"/>
      <c r="F92" s="89"/>
      <c r="G92" s="31"/>
      <c r="H92" s="31"/>
      <c r="I92" s="31"/>
      <c r="J92" s="31"/>
      <c r="K92" s="31"/>
      <c r="L92" s="31"/>
      <c r="M92" s="31"/>
      <c r="N92" s="32"/>
    </row>
    <row r="93" spans="2:14" ht="12.95" customHeight="1" x14ac:dyDescent="0.2">
      <c r="B93" s="14"/>
      <c r="C93" s="89"/>
      <c r="D93" s="89"/>
      <c r="E93" s="89"/>
      <c r="F93" s="89"/>
      <c r="G93" s="31"/>
      <c r="H93" s="31"/>
      <c r="I93" s="31"/>
      <c r="J93" s="31"/>
      <c r="K93" s="31"/>
      <c r="L93" s="31"/>
      <c r="M93" s="31"/>
      <c r="N93" s="32"/>
    </row>
    <row r="94" spans="2:14" ht="12.95" customHeight="1" x14ac:dyDescent="0.2">
      <c r="B94" s="14"/>
      <c r="C94" s="89"/>
      <c r="D94" s="89"/>
      <c r="E94" s="89"/>
      <c r="F94" s="89"/>
      <c r="G94" s="31"/>
      <c r="H94" s="31"/>
      <c r="I94" s="31"/>
      <c r="J94" s="31"/>
      <c r="K94" s="31"/>
      <c r="L94" s="31"/>
      <c r="M94" s="31"/>
      <c r="N94" s="32"/>
    </row>
    <row r="95" spans="2:14" ht="12.95" customHeight="1" x14ac:dyDescent="0.2">
      <c r="B95" s="14"/>
      <c r="C95" s="89"/>
      <c r="D95" s="89"/>
      <c r="E95" s="89"/>
      <c r="F95" s="89"/>
      <c r="G95" s="31"/>
      <c r="H95" s="31"/>
      <c r="I95" s="31"/>
      <c r="J95" s="31"/>
      <c r="K95" s="31"/>
      <c r="L95" s="31"/>
      <c r="M95" s="31"/>
      <c r="N95" s="32"/>
    </row>
    <row r="96" spans="2:14" ht="12.95" customHeight="1" x14ac:dyDescent="0.2">
      <c r="B96" s="14"/>
      <c r="C96" s="89"/>
      <c r="D96" s="89"/>
      <c r="E96" s="89"/>
      <c r="F96" s="89"/>
      <c r="G96" s="31"/>
      <c r="H96" s="31"/>
      <c r="I96" s="31"/>
      <c r="J96" s="31"/>
      <c r="K96" s="31"/>
      <c r="L96" s="31"/>
      <c r="M96" s="31"/>
    </row>
    <row r="97" spans="2:13" ht="12.95" customHeight="1" x14ac:dyDescent="0.2">
      <c r="B97" s="14"/>
      <c r="C97" s="89"/>
      <c r="D97" s="89"/>
      <c r="E97" s="89"/>
      <c r="F97" s="89"/>
      <c r="G97" s="31"/>
      <c r="H97" s="31"/>
      <c r="I97" s="31"/>
      <c r="J97" s="31"/>
      <c r="K97" s="31"/>
      <c r="L97" s="31"/>
      <c r="M97" s="31"/>
    </row>
    <row r="98" spans="2:13" ht="12.95" customHeight="1" x14ac:dyDescent="0.2">
      <c r="B98" s="14"/>
      <c r="C98" s="89"/>
      <c r="D98" s="89"/>
      <c r="E98" s="89"/>
      <c r="F98" s="89"/>
      <c r="G98" s="31"/>
      <c r="H98" s="31"/>
      <c r="I98" s="31"/>
      <c r="J98" s="31"/>
      <c r="K98" s="31"/>
      <c r="L98" s="31"/>
      <c r="M98" s="31"/>
    </row>
  </sheetData>
  <mergeCells count="1">
    <mergeCell ref="E23:F23"/>
  </mergeCells>
  <printOptions horizontalCentered="1"/>
  <pageMargins left="0.70866141732283472" right="0.70866141732283472" top="0.74803149606299213" bottom="0.74803149606299213" header="0.31496062992125984" footer="0.31496062992125984"/>
  <pageSetup scale="5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D5996E-6B5F-44EE-83FF-7739012F462F}">
          <x14:formula1>
            <xm:f>CATALOGO!$A$1018:$A$2510</xm:f>
          </x14:formula1>
          <xm:sqref>C24:F37</xm:sqref>
        </x14:dataValidation>
        <x14:dataValidation type="list" allowBlank="1" showInputMessage="1" showErrorMessage="1" xr:uid="{D0908FED-DEE9-4894-B913-76D5D29BAE87}">
          <x14:formula1>
            <xm:f>CATALOGO!$B$1018:$B$2510</xm:f>
          </x14:formula1>
          <xm:sqref>G24:G37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BCBF-5762-44E2-A048-D6DB8C0E1727}">
  <sheetPr codeName="Sheet3"/>
  <dimension ref="A1:D2510"/>
  <sheetViews>
    <sheetView zoomScale="50" zoomScaleNormal="50" workbookViewId="0">
      <selection activeCell="F20" sqref="F20"/>
    </sheetView>
  </sheetViews>
  <sheetFormatPr defaultColWidth="9.140625" defaultRowHeight="15" x14ac:dyDescent="0.25"/>
  <cols>
    <col min="1" max="1" width="146" style="95" customWidth="1"/>
    <col min="2" max="2" width="29.42578125" customWidth="1"/>
    <col min="3" max="3" width="33.28515625" customWidth="1"/>
    <col min="4" max="4" width="30.85546875" customWidth="1"/>
    <col min="5" max="5" width="34.5703125" customWidth="1"/>
  </cols>
  <sheetData>
    <row r="1" spans="1:4" ht="93" x14ac:dyDescent="0.25">
      <c r="A1" s="90" t="s">
        <v>3359</v>
      </c>
      <c r="B1" s="39" t="s">
        <v>1044</v>
      </c>
      <c r="C1" s="40" t="s">
        <v>20</v>
      </c>
      <c r="D1" s="40" t="s">
        <v>1783</v>
      </c>
    </row>
    <row r="2" spans="1:4" ht="16.5" customHeight="1" x14ac:dyDescent="0.25">
      <c r="A2" s="96" t="s">
        <v>50</v>
      </c>
      <c r="B2" s="68"/>
      <c r="C2" s="97"/>
      <c r="D2" s="68"/>
    </row>
    <row r="3" spans="1:4" ht="16.5" customHeight="1" x14ac:dyDescent="0.25">
      <c r="A3" s="98" t="s">
        <v>51</v>
      </c>
      <c r="B3" s="68"/>
      <c r="C3" s="97"/>
      <c r="D3" s="68"/>
    </row>
    <row r="4" spans="1:4" ht="16.5" customHeight="1" x14ac:dyDescent="0.25">
      <c r="A4" s="98" t="s">
        <v>52</v>
      </c>
      <c r="B4" s="68"/>
      <c r="C4" s="97"/>
      <c r="D4" s="68"/>
    </row>
    <row r="5" spans="1:4" ht="16.5" customHeight="1" x14ac:dyDescent="0.25">
      <c r="A5" s="98" t="s">
        <v>29</v>
      </c>
      <c r="B5" s="68"/>
      <c r="C5" s="97"/>
      <c r="D5" s="68"/>
    </row>
    <row r="6" spans="1:4" ht="16.5" customHeight="1" x14ac:dyDescent="0.25">
      <c r="A6" s="98" t="s">
        <v>30</v>
      </c>
      <c r="B6" s="68"/>
      <c r="C6" s="97"/>
      <c r="D6" s="68"/>
    </row>
    <row r="7" spans="1:4" ht="16.5" customHeight="1" x14ac:dyDescent="0.25">
      <c r="A7" s="98" t="s">
        <v>31</v>
      </c>
      <c r="B7" s="68"/>
      <c r="C7" s="97"/>
      <c r="D7" s="68"/>
    </row>
    <row r="8" spans="1:4" ht="16.5" customHeight="1" x14ac:dyDescent="0.25">
      <c r="A8" s="98" t="s">
        <v>32</v>
      </c>
      <c r="B8" s="68"/>
      <c r="C8" s="97"/>
      <c r="D8" s="68"/>
    </row>
    <row r="9" spans="1:4" ht="16.5" customHeight="1" x14ac:dyDescent="0.25">
      <c r="A9" s="96" t="s">
        <v>53</v>
      </c>
      <c r="B9" s="68"/>
      <c r="C9" s="97"/>
      <c r="D9" s="68"/>
    </row>
    <row r="10" spans="1:4" ht="16.5" customHeight="1" x14ac:dyDescent="0.25">
      <c r="A10" s="96" t="s">
        <v>54</v>
      </c>
      <c r="B10" s="68"/>
      <c r="C10" s="97"/>
      <c r="D10" s="68"/>
    </row>
    <row r="11" spans="1:4" ht="16.5" customHeight="1" x14ac:dyDescent="0.25">
      <c r="A11" s="96" t="s">
        <v>55</v>
      </c>
      <c r="B11" s="68"/>
      <c r="C11" s="97"/>
      <c r="D11" s="68"/>
    </row>
    <row r="12" spans="1:4" ht="16.5" customHeight="1" x14ac:dyDescent="0.25">
      <c r="A12" s="96" t="s">
        <v>56</v>
      </c>
      <c r="B12" s="68"/>
      <c r="C12" s="97"/>
      <c r="D12" s="68"/>
    </row>
    <row r="13" spans="1:4" ht="16.5" customHeight="1" x14ac:dyDescent="0.25">
      <c r="A13" s="96" t="s">
        <v>57</v>
      </c>
      <c r="B13" s="68"/>
      <c r="C13" s="97"/>
      <c r="D13" s="68"/>
    </row>
    <row r="14" spans="1:4" ht="16.5" customHeight="1" x14ac:dyDescent="0.25">
      <c r="A14" s="98" t="s">
        <v>41</v>
      </c>
      <c r="B14" s="68"/>
      <c r="C14" s="97"/>
      <c r="D14" s="68"/>
    </row>
    <row r="15" spans="1:4" ht="16.5" customHeight="1" x14ac:dyDescent="0.25">
      <c r="A15" s="96" t="s">
        <v>58</v>
      </c>
      <c r="B15" s="68"/>
      <c r="C15" s="97"/>
      <c r="D15" s="68"/>
    </row>
    <row r="16" spans="1:4" ht="16.5" customHeight="1" x14ac:dyDescent="0.25">
      <c r="A16" s="96" t="s">
        <v>59</v>
      </c>
      <c r="B16" s="68"/>
      <c r="C16" s="97"/>
      <c r="D16" s="68"/>
    </row>
    <row r="17" spans="1:4" ht="16.5" customHeight="1" x14ac:dyDescent="0.25">
      <c r="A17" s="96" t="s">
        <v>60</v>
      </c>
      <c r="B17" s="68"/>
      <c r="C17" s="97"/>
      <c r="D17" s="68"/>
    </row>
    <row r="18" spans="1:4" ht="16.5" customHeight="1" x14ac:dyDescent="0.25">
      <c r="A18" s="98" t="s">
        <v>61</v>
      </c>
      <c r="B18" s="68"/>
      <c r="C18" s="97"/>
      <c r="D18" s="68"/>
    </row>
    <row r="19" spans="1:4" ht="16.5" customHeight="1" x14ac:dyDescent="0.25">
      <c r="A19" s="96" t="s">
        <v>62</v>
      </c>
      <c r="B19" s="68"/>
      <c r="C19" s="97"/>
      <c r="D19" s="68"/>
    </row>
    <row r="20" spans="1:4" ht="16.5" customHeight="1" x14ac:dyDescent="0.25">
      <c r="A20" s="96" t="s">
        <v>63</v>
      </c>
      <c r="B20" s="68"/>
      <c r="C20" s="97"/>
      <c r="D20" s="68"/>
    </row>
    <row r="21" spans="1:4" ht="16.5" customHeight="1" x14ac:dyDescent="0.25">
      <c r="A21" s="96" t="s">
        <v>64</v>
      </c>
      <c r="B21" s="68"/>
      <c r="C21" s="97"/>
      <c r="D21" s="68"/>
    </row>
    <row r="22" spans="1:4" ht="16.5" customHeight="1" x14ac:dyDescent="0.25">
      <c r="A22" s="96" t="s">
        <v>65</v>
      </c>
      <c r="B22" s="68"/>
      <c r="C22" s="97"/>
      <c r="D22" s="68"/>
    </row>
    <row r="23" spans="1:4" ht="16.5" customHeight="1" x14ac:dyDescent="0.25">
      <c r="A23" s="96" t="s">
        <v>66</v>
      </c>
      <c r="B23" s="68"/>
      <c r="C23" s="97"/>
      <c r="D23" s="68"/>
    </row>
    <row r="24" spans="1:4" ht="16.5" customHeight="1" x14ac:dyDescent="0.25">
      <c r="A24" s="96" t="s">
        <v>67</v>
      </c>
      <c r="B24" s="68"/>
      <c r="C24" s="97"/>
      <c r="D24" s="68"/>
    </row>
    <row r="25" spans="1:4" ht="16.5" customHeight="1" x14ac:dyDescent="0.25">
      <c r="A25" s="96" t="s">
        <v>68</v>
      </c>
      <c r="B25" s="68"/>
      <c r="C25" s="97"/>
      <c r="D25" s="68"/>
    </row>
    <row r="26" spans="1:4" ht="16.5" customHeight="1" x14ac:dyDescent="0.25">
      <c r="A26" s="98" t="s">
        <v>69</v>
      </c>
      <c r="B26" s="68"/>
      <c r="C26" s="97"/>
      <c r="D26" s="68"/>
    </row>
    <row r="27" spans="1:4" ht="16.5" customHeight="1" x14ac:dyDescent="0.25">
      <c r="A27" s="96" t="s">
        <v>70</v>
      </c>
      <c r="B27" s="68"/>
      <c r="C27" s="97"/>
      <c r="D27" s="68"/>
    </row>
    <row r="28" spans="1:4" ht="16.5" customHeight="1" x14ac:dyDescent="0.25">
      <c r="A28" s="96" t="s">
        <v>71</v>
      </c>
      <c r="B28" s="68"/>
      <c r="C28" s="97"/>
      <c r="D28" s="68"/>
    </row>
    <row r="29" spans="1:4" ht="16.5" customHeight="1" x14ac:dyDescent="0.25">
      <c r="A29" s="96" t="s">
        <v>72</v>
      </c>
      <c r="B29" s="68"/>
      <c r="C29" s="97"/>
      <c r="D29" s="68"/>
    </row>
    <row r="30" spans="1:4" ht="16.5" customHeight="1" x14ac:dyDescent="0.25">
      <c r="A30" s="96" t="s">
        <v>73</v>
      </c>
      <c r="B30" s="68"/>
      <c r="C30" s="97"/>
      <c r="D30" s="68"/>
    </row>
    <row r="31" spans="1:4" ht="16.5" customHeight="1" x14ac:dyDescent="0.25">
      <c r="A31" s="96" t="s">
        <v>74</v>
      </c>
      <c r="B31" s="68"/>
      <c r="C31" s="97"/>
      <c r="D31" s="68"/>
    </row>
    <row r="32" spans="1:4" ht="16.5" customHeight="1" x14ac:dyDescent="0.25">
      <c r="A32" s="96" t="s">
        <v>75</v>
      </c>
      <c r="B32" s="68"/>
      <c r="C32" s="97"/>
      <c r="D32" s="68"/>
    </row>
    <row r="33" spans="1:4" ht="16.5" customHeight="1" x14ac:dyDescent="0.25">
      <c r="A33" s="96" t="s">
        <v>76</v>
      </c>
      <c r="B33" s="68"/>
      <c r="C33" s="97"/>
      <c r="D33" s="68"/>
    </row>
    <row r="34" spans="1:4" ht="16.5" customHeight="1" x14ac:dyDescent="0.25">
      <c r="A34" s="96" t="s">
        <v>77</v>
      </c>
      <c r="B34" s="68"/>
      <c r="C34" s="97"/>
      <c r="D34" s="68"/>
    </row>
    <row r="35" spans="1:4" ht="16.5" customHeight="1" x14ac:dyDescent="0.25">
      <c r="A35" s="96" t="s">
        <v>78</v>
      </c>
      <c r="B35" s="68"/>
      <c r="C35" s="97"/>
      <c r="D35" s="68"/>
    </row>
    <row r="36" spans="1:4" ht="16.5" customHeight="1" x14ac:dyDescent="0.25">
      <c r="A36" s="96" t="s">
        <v>79</v>
      </c>
      <c r="B36" s="68"/>
      <c r="C36" s="97"/>
      <c r="D36" s="68"/>
    </row>
    <row r="37" spans="1:4" ht="16.5" customHeight="1" x14ac:dyDescent="0.25">
      <c r="A37" s="96" t="s">
        <v>80</v>
      </c>
      <c r="B37" s="68"/>
      <c r="C37" s="97"/>
      <c r="D37" s="68"/>
    </row>
    <row r="38" spans="1:4" ht="16.5" customHeight="1" x14ac:dyDescent="0.25">
      <c r="A38" s="96" t="s">
        <v>81</v>
      </c>
      <c r="B38" s="68"/>
      <c r="C38" s="97"/>
      <c r="D38" s="68"/>
    </row>
    <row r="39" spans="1:4" ht="16.5" customHeight="1" x14ac:dyDescent="0.25">
      <c r="A39" s="96" t="s">
        <v>82</v>
      </c>
      <c r="B39" s="68"/>
      <c r="C39" s="97"/>
      <c r="D39" s="68"/>
    </row>
    <row r="40" spans="1:4" ht="16.5" customHeight="1" x14ac:dyDescent="0.25">
      <c r="A40" s="96" t="s">
        <v>83</v>
      </c>
      <c r="B40" s="68"/>
      <c r="C40" s="97"/>
      <c r="D40" s="68"/>
    </row>
    <row r="41" spans="1:4" ht="16.5" customHeight="1" x14ac:dyDescent="0.25">
      <c r="A41" s="96" t="s">
        <v>84</v>
      </c>
      <c r="B41" s="68"/>
      <c r="C41" s="97"/>
      <c r="D41" s="68"/>
    </row>
    <row r="42" spans="1:4" ht="16.5" customHeight="1" x14ac:dyDescent="0.25">
      <c r="A42" s="98" t="s">
        <v>85</v>
      </c>
      <c r="B42" s="68"/>
      <c r="C42" s="97"/>
      <c r="D42" s="68"/>
    </row>
    <row r="43" spans="1:4" ht="16.5" customHeight="1" x14ac:dyDescent="0.25">
      <c r="A43" s="98" t="s">
        <v>86</v>
      </c>
      <c r="B43" s="68"/>
      <c r="C43" s="97"/>
      <c r="D43" s="68"/>
    </row>
    <row r="44" spans="1:4" ht="16.5" customHeight="1" x14ac:dyDescent="0.25">
      <c r="A44" s="98" t="s">
        <v>87</v>
      </c>
      <c r="B44" s="68"/>
      <c r="C44" s="97"/>
      <c r="D44" s="68"/>
    </row>
    <row r="45" spans="1:4" ht="16.5" customHeight="1" x14ac:dyDescent="0.25">
      <c r="A45" s="99" t="s">
        <v>88</v>
      </c>
      <c r="B45" s="68"/>
      <c r="C45" s="97"/>
      <c r="D45" s="68"/>
    </row>
    <row r="46" spans="1:4" ht="16.5" customHeight="1" x14ac:dyDescent="0.25">
      <c r="A46" s="100" t="s">
        <v>89</v>
      </c>
      <c r="B46" s="68"/>
      <c r="C46" s="97"/>
      <c r="D46" s="68"/>
    </row>
    <row r="47" spans="1:4" ht="16.5" customHeight="1" x14ac:dyDescent="0.25">
      <c r="A47" s="96" t="s">
        <v>90</v>
      </c>
      <c r="B47" s="68"/>
      <c r="C47" s="97"/>
      <c r="D47" s="68"/>
    </row>
    <row r="48" spans="1:4" ht="16.5" customHeight="1" x14ac:dyDescent="0.25">
      <c r="A48" s="96" t="s">
        <v>91</v>
      </c>
      <c r="B48" s="68"/>
      <c r="C48" s="97"/>
      <c r="D48" s="68"/>
    </row>
    <row r="49" spans="1:4" ht="16.5" customHeight="1" x14ac:dyDescent="0.25">
      <c r="A49" s="96" t="s">
        <v>92</v>
      </c>
      <c r="B49" s="68"/>
      <c r="C49" s="97"/>
      <c r="D49" s="68"/>
    </row>
    <row r="50" spans="1:4" ht="16.5" customHeight="1" x14ac:dyDescent="0.25">
      <c r="A50" s="96" t="s">
        <v>93</v>
      </c>
      <c r="B50" s="68"/>
      <c r="C50" s="97"/>
      <c r="D50" s="68"/>
    </row>
    <row r="51" spans="1:4" ht="16.5" customHeight="1" x14ac:dyDescent="0.25">
      <c r="A51" s="96" t="s">
        <v>94</v>
      </c>
      <c r="B51" s="68"/>
      <c r="C51" s="97"/>
      <c r="D51" s="68"/>
    </row>
    <row r="52" spans="1:4" ht="16.5" customHeight="1" x14ac:dyDescent="0.25">
      <c r="A52" s="96" t="s">
        <v>95</v>
      </c>
      <c r="B52" s="68"/>
      <c r="C52" s="97"/>
      <c r="D52" s="68"/>
    </row>
    <row r="53" spans="1:4" ht="16.5" customHeight="1" x14ac:dyDescent="0.25">
      <c r="A53" s="96" t="s">
        <v>96</v>
      </c>
      <c r="B53" s="68"/>
      <c r="C53" s="97"/>
      <c r="D53" s="68"/>
    </row>
    <row r="54" spans="1:4" ht="16.5" customHeight="1" x14ac:dyDescent="0.25">
      <c r="A54" s="96" t="s">
        <v>97</v>
      </c>
      <c r="B54" s="68"/>
      <c r="C54" s="97"/>
      <c r="D54" s="68"/>
    </row>
    <row r="55" spans="1:4" ht="16.5" customHeight="1" x14ac:dyDescent="0.25">
      <c r="A55" s="96" t="s">
        <v>98</v>
      </c>
      <c r="B55" s="68"/>
      <c r="C55" s="97"/>
      <c r="D55" s="68"/>
    </row>
    <row r="56" spans="1:4" ht="16.5" customHeight="1" x14ac:dyDescent="0.25">
      <c r="A56" s="96" t="s">
        <v>99</v>
      </c>
      <c r="B56" s="68"/>
      <c r="C56" s="97"/>
      <c r="D56" s="68"/>
    </row>
    <row r="57" spans="1:4" ht="16.5" customHeight="1" x14ac:dyDescent="0.25">
      <c r="A57" s="98" t="s">
        <v>100</v>
      </c>
      <c r="B57" s="68"/>
      <c r="C57" s="97"/>
      <c r="D57" s="68"/>
    </row>
    <row r="58" spans="1:4" ht="16.5" customHeight="1" x14ac:dyDescent="0.25">
      <c r="A58" s="96" t="s">
        <v>101</v>
      </c>
      <c r="B58" s="68"/>
      <c r="C58" s="97"/>
      <c r="D58" s="68"/>
    </row>
    <row r="59" spans="1:4" ht="16.5" customHeight="1" x14ac:dyDescent="0.25">
      <c r="A59" s="96" t="s">
        <v>102</v>
      </c>
      <c r="B59" s="68"/>
      <c r="C59" s="97"/>
      <c r="D59" s="68"/>
    </row>
    <row r="60" spans="1:4" ht="16.5" customHeight="1" x14ac:dyDescent="0.25">
      <c r="A60" s="99" t="s">
        <v>103</v>
      </c>
      <c r="B60" s="68"/>
      <c r="C60" s="97"/>
      <c r="D60" s="68"/>
    </row>
    <row r="61" spans="1:4" ht="16.5" customHeight="1" x14ac:dyDescent="0.25">
      <c r="A61" s="96" t="s">
        <v>104</v>
      </c>
      <c r="B61" s="68"/>
      <c r="C61" s="97"/>
      <c r="D61" s="68"/>
    </row>
    <row r="62" spans="1:4" ht="16.5" customHeight="1" x14ac:dyDescent="0.25">
      <c r="A62" s="96" t="s">
        <v>105</v>
      </c>
      <c r="B62" s="68"/>
      <c r="C62" s="97"/>
      <c r="D62" s="68"/>
    </row>
    <row r="63" spans="1:4" ht="16.5" customHeight="1" x14ac:dyDescent="0.25">
      <c r="A63" s="96" t="s">
        <v>106</v>
      </c>
      <c r="B63" s="68"/>
      <c r="C63" s="97"/>
      <c r="D63" s="68"/>
    </row>
    <row r="64" spans="1:4" ht="16.5" customHeight="1" x14ac:dyDescent="0.25">
      <c r="A64" s="98" t="s">
        <v>107</v>
      </c>
      <c r="B64" s="68"/>
      <c r="C64" s="97"/>
      <c r="D64" s="68"/>
    </row>
    <row r="65" spans="1:4" ht="16.5" customHeight="1" x14ac:dyDescent="0.25">
      <c r="A65" s="96" t="s">
        <v>108</v>
      </c>
      <c r="B65" s="68"/>
      <c r="C65" s="97"/>
      <c r="D65" s="68"/>
    </row>
    <row r="66" spans="1:4" ht="16.5" customHeight="1" x14ac:dyDescent="0.25">
      <c r="A66" s="99" t="s">
        <v>109</v>
      </c>
      <c r="B66" s="68"/>
      <c r="C66" s="97"/>
      <c r="D66" s="68"/>
    </row>
    <row r="67" spans="1:4" ht="16.5" customHeight="1" x14ac:dyDescent="0.25">
      <c r="A67" s="96" t="s">
        <v>110</v>
      </c>
      <c r="B67" s="68"/>
      <c r="C67" s="97"/>
      <c r="D67" s="68"/>
    </row>
    <row r="68" spans="1:4" ht="16.5" customHeight="1" x14ac:dyDescent="0.25">
      <c r="A68" s="96" t="s">
        <v>111</v>
      </c>
      <c r="B68" s="68"/>
      <c r="C68" s="97"/>
      <c r="D68" s="68"/>
    </row>
    <row r="69" spans="1:4" ht="16.5" customHeight="1" x14ac:dyDescent="0.25">
      <c r="A69" s="96" t="s">
        <v>112</v>
      </c>
      <c r="B69" s="68"/>
      <c r="C69" s="97"/>
      <c r="D69" s="68"/>
    </row>
    <row r="70" spans="1:4" ht="16.5" customHeight="1" x14ac:dyDescent="0.25">
      <c r="A70" s="96" t="s">
        <v>113</v>
      </c>
      <c r="B70" s="68"/>
      <c r="C70" s="97"/>
      <c r="D70" s="68"/>
    </row>
    <row r="71" spans="1:4" ht="16.5" customHeight="1" x14ac:dyDescent="0.25">
      <c r="A71" s="98" t="s">
        <v>33</v>
      </c>
      <c r="B71" s="68"/>
      <c r="C71" s="97"/>
      <c r="D71" s="68"/>
    </row>
    <row r="72" spans="1:4" ht="16.5" customHeight="1" x14ac:dyDescent="0.25">
      <c r="A72" s="96" t="s">
        <v>114</v>
      </c>
      <c r="B72" s="68"/>
      <c r="C72" s="97"/>
      <c r="D72" s="68"/>
    </row>
    <row r="73" spans="1:4" ht="16.5" customHeight="1" x14ac:dyDescent="0.25">
      <c r="A73" s="96" t="s">
        <v>115</v>
      </c>
      <c r="B73" s="68"/>
      <c r="C73" s="97"/>
      <c r="D73" s="68"/>
    </row>
    <row r="74" spans="1:4" ht="16.5" customHeight="1" x14ac:dyDescent="0.25">
      <c r="A74" s="98" t="s">
        <v>116</v>
      </c>
      <c r="B74" s="68"/>
      <c r="C74" s="97"/>
      <c r="D74" s="68"/>
    </row>
    <row r="75" spans="1:4" ht="16.5" customHeight="1" x14ac:dyDescent="0.25">
      <c r="A75" s="96" t="s">
        <v>117</v>
      </c>
      <c r="B75" s="68"/>
      <c r="C75" s="97"/>
      <c r="D75" s="68"/>
    </row>
    <row r="76" spans="1:4" ht="16.5" customHeight="1" x14ac:dyDescent="0.25">
      <c r="A76" s="98" t="s">
        <v>118</v>
      </c>
      <c r="B76" s="68"/>
      <c r="C76" s="97"/>
      <c r="D76" s="68"/>
    </row>
    <row r="77" spans="1:4" ht="16.5" customHeight="1" x14ac:dyDescent="0.25">
      <c r="A77" s="99" t="s">
        <v>119</v>
      </c>
      <c r="B77" s="68"/>
      <c r="C77" s="97"/>
      <c r="D77" s="68"/>
    </row>
    <row r="78" spans="1:4" ht="16.5" customHeight="1" x14ac:dyDescent="0.25">
      <c r="A78" s="96" t="s">
        <v>120</v>
      </c>
      <c r="B78" s="68"/>
      <c r="C78" s="97"/>
      <c r="D78" s="68"/>
    </row>
    <row r="79" spans="1:4" ht="16.5" customHeight="1" x14ac:dyDescent="0.25">
      <c r="A79" s="96" t="s">
        <v>121</v>
      </c>
      <c r="B79" s="68"/>
      <c r="C79" s="97"/>
      <c r="D79" s="68"/>
    </row>
    <row r="80" spans="1:4" ht="16.5" customHeight="1" x14ac:dyDescent="0.25">
      <c r="A80" s="96" t="s">
        <v>122</v>
      </c>
      <c r="B80" s="68"/>
      <c r="C80" s="97"/>
      <c r="D80" s="68"/>
    </row>
    <row r="81" spans="1:4" ht="16.5" customHeight="1" x14ac:dyDescent="0.25">
      <c r="A81" s="96" t="s">
        <v>123</v>
      </c>
      <c r="B81" s="68"/>
      <c r="C81" s="97"/>
      <c r="D81" s="68"/>
    </row>
    <row r="82" spans="1:4" ht="16.5" customHeight="1" x14ac:dyDescent="0.25">
      <c r="A82" s="96" t="s">
        <v>124</v>
      </c>
      <c r="B82" s="68"/>
      <c r="C82" s="97"/>
      <c r="D82" s="68"/>
    </row>
    <row r="83" spans="1:4" ht="16.5" customHeight="1" x14ac:dyDescent="0.25">
      <c r="A83" s="96" t="s">
        <v>125</v>
      </c>
      <c r="B83" s="68"/>
      <c r="C83" s="97"/>
      <c r="D83" s="68"/>
    </row>
    <row r="84" spans="1:4" ht="16.5" customHeight="1" x14ac:dyDescent="0.25">
      <c r="A84" s="96" t="s">
        <v>126</v>
      </c>
      <c r="B84" s="68"/>
      <c r="C84" s="97"/>
      <c r="D84" s="68"/>
    </row>
    <row r="85" spans="1:4" ht="16.5" customHeight="1" x14ac:dyDescent="0.25">
      <c r="A85" s="96" t="s">
        <v>127</v>
      </c>
      <c r="B85" s="68"/>
      <c r="C85" s="97"/>
      <c r="D85" s="68"/>
    </row>
    <row r="86" spans="1:4" ht="16.5" customHeight="1" x14ac:dyDescent="0.25">
      <c r="A86" s="96" t="s">
        <v>128</v>
      </c>
      <c r="B86" s="68"/>
      <c r="C86" s="97"/>
      <c r="D86" s="68"/>
    </row>
    <row r="87" spans="1:4" ht="16.5" customHeight="1" x14ac:dyDescent="0.25">
      <c r="A87" s="96" t="s">
        <v>129</v>
      </c>
      <c r="B87" s="68"/>
      <c r="C87" s="97"/>
      <c r="D87" s="68"/>
    </row>
    <row r="88" spans="1:4" ht="16.5" customHeight="1" x14ac:dyDescent="0.25">
      <c r="A88" s="98" t="s">
        <v>130</v>
      </c>
      <c r="B88" s="68"/>
      <c r="C88" s="97"/>
      <c r="D88" s="68"/>
    </row>
    <row r="89" spans="1:4" ht="16.5" customHeight="1" x14ac:dyDescent="0.25">
      <c r="A89" s="96" t="s">
        <v>131</v>
      </c>
      <c r="B89" s="68"/>
      <c r="C89" s="97"/>
      <c r="D89" s="68"/>
    </row>
    <row r="90" spans="1:4" ht="16.5" customHeight="1" x14ac:dyDescent="0.25">
      <c r="A90" s="96" t="s">
        <v>132</v>
      </c>
      <c r="B90" s="68"/>
      <c r="C90" s="97"/>
      <c r="D90" s="68"/>
    </row>
    <row r="91" spans="1:4" ht="16.5" customHeight="1" x14ac:dyDescent="0.25">
      <c r="A91" s="96" t="s">
        <v>133</v>
      </c>
      <c r="B91" s="68"/>
      <c r="C91" s="97"/>
      <c r="D91" s="68"/>
    </row>
    <row r="92" spans="1:4" ht="16.5" customHeight="1" x14ac:dyDescent="0.25">
      <c r="A92" s="96" t="s">
        <v>134</v>
      </c>
      <c r="B92" s="68"/>
      <c r="C92" s="97"/>
      <c r="D92" s="68"/>
    </row>
    <row r="93" spans="1:4" ht="16.5" customHeight="1" x14ac:dyDescent="0.25">
      <c r="A93" s="96" t="s">
        <v>135</v>
      </c>
      <c r="B93" s="68"/>
      <c r="C93" s="97"/>
      <c r="D93" s="68"/>
    </row>
    <row r="94" spans="1:4" ht="16.5" customHeight="1" x14ac:dyDescent="0.25">
      <c r="A94" s="96" t="s">
        <v>136</v>
      </c>
      <c r="B94" s="68"/>
      <c r="C94" s="97"/>
      <c r="D94" s="68"/>
    </row>
    <row r="95" spans="1:4" ht="16.5" customHeight="1" x14ac:dyDescent="0.25">
      <c r="A95" s="96" t="s">
        <v>137</v>
      </c>
      <c r="B95" s="68"/>
      <c r="C95" s="97"/>
      <c r="D95" s="68"/>
    </row>
    <row r="96" spans="1:4" ht="16.5" customHeight="1" x14ac:dyDescent="0.25">
      <c r="A96" s="96" t="s">
        <v>138</v>
      </c>
      <c r="B96" s="68"/>
      <c r="C96" s="97"/>
      <c r="D96" s="68"/>
    </row>
    <row r="97" spans="1:4" ht="16.5" customHeight="1" x14ac:dyDescent="0.25">
      <c r="A97" s="96" t="s">
        <v>139</v>
      </c>
      <c r="B97" s="68"/>
      <c r="C97" s="97"/>
      <c r="D97" s="68"/>
    </row>
    <row r="98" spans="1:4" ht="16.5" customHeight="1" x14ac:dyDescent="0.25">
      <c r="A98" s="96" t="s">
        <v>140</v>
      </c>
      <c r="B98" s="68"/>
      <c r="C98" s="97"/>
      <c r="D98" s="68"/>
    </row>
    <row r="99" spans="1:4" ht="16.5" customHeight="1" x14ac:dyDescent="0.25">
      <c r="A99" s="96" t="s">
        <v>141</v>
      </c>
      <c r="B99" s="68"/>
      <c r="C99" s="97"/>
      <c r="D99" s="68"/>
    </row>
    <row r="100" spans="1:4" ht="16.5" customHeight="1" x14ac:dyDescent="0.25">
      <c r="A100" s="96" t="s">
        <v>142</v>
      </c>
      <c r="B100" s="68"/>
      <c r="C100" s="97"/>
      <c r="D100" s="68"/>
    </row>
    <row r="101" spans="1:4" ht="16.5" customHeight="1" x14ac:dyDescent="0.25">
      <c r="A101" s="96" t="s">
        <v>143</v>
      </c>
      <c r="B101" s="68"/>
      <c r="C101" s="97"/>
      <c r="D101" s="68"/>
    </row>
    <row r="102" spans="1:4" ht="16.5" customHeight="1" x14ac:dyDescent="0.25">
      <c r="A102" s="96" t="s">
        <v>144</v>
      </c>
      <c r="B102" s="68"/>
      <c r="C102" s="97"/>
      <c r="D102" s="68"/>
    </row>
    <row r="103" spans="1:4" ht="16.5" customHeight="1" x14ac:dyDescent="0.25">
      <c r="A103" s="96" t="s">
        <v>145</v>
      </c>
      <c r="B103" s="68"/>
      <c r="C103" s="97"/>
      <c r="D103" s="68"/>
    </row>
    <row r="104" spans="1:4" ht="16.5" customHeight="1" x14ac:dyDescent="0.25">
      <c r="A104" s="96" t="s">
        <v>146</v>
      </c>
      <c r="B104" s="68"/>
      <c r="C104" s="97"/>
      <c r="D104" s="68"/>
    </row>
    <row r="105" spans="1:4" ht="16.5" customHeight="1" x14ac:dyDescent="0.25">
      <c r="A105" s="96" t="s">
        <v>147</v>
      </c>
      <c r="B105" s="68"/>
      <c r="C105" s="97"/>
      <c r="D105" s="68"/>
    </row>
    <row r="106" spans="1:4" ht="16.5" customHeight="1" x14ac:dyDescent="0.25">
      <c r="A106" s="96" t="s">
        <v>148</v>
      </c>
      <c r="B106" s="68"/>
      <c r="C106" s="97"/>
      <c r="D106" s="68"/>
    </row>
    <row r="107" spans="1:4" ht="16.5" customHeight="1" x14ac:dyDescent="0.25">
      <c r="A107" s="96" t="s">
        <v>149</v>
      </c>
      <c r="B107" s="68"/>
      <c r="C107" s="97"/>
      <c r="D107" s="68"/>
    </row>
    <row r="108" spans="1:4" ht="16.5" customHeight="1" x14ac:dyDescent="0.25">
      <c r="A108" s="96" t="s">
        <v>150</v>
      </c>
      <c r="B108" s="68"/>
      <c r="C108" s="97"/>
      <c r="D108" s="68"/>
    </row>
    <row r="109" spans="1:4" ht="16.5" customHeight="1" x14ac:dyDescent="0.25">
      <c r="A109" s="96" t="s">
        <v>151</v>
      </c>
      <c r="B109" s="68"/>
      <c r="C109" s="97"/>
      <c r="D109" s="68"/>
    </row>
    <row r="110" spans="1:4" ht="16.5" customHeight="1" x14ac:dyDescent="0.25">
      <c r="A110" s="96" t="s">
        <v>152</v>
      </c>
      <c r="B110" s="68"/>
      <c r="C110" s="97"/>
      <c r="D110" s="68"/>
    </row>
    <row r="111" spans="1:4" ht="16.5" customHeight="1" x14ac:dyDescent="0.25">
      <c r="A111" s="96" t="s">
        <v>153</v>
      </c>
      <c r="B111" s="68"/>
      <c r="C111" s="97"/>
      <c r="D111" s="68"/>
    </row>
    <row r="112" spans="1:4" ht="16.5" customHeight="1" x14ac:dyDescent="0.25">
      <c r="A112" s="99" t="s">
        <v>154</v>
      </c>
      <c r="B112" s="68"/>
      <c r="C112" s="97"/>
      <c r="D112" s="68"/>
    </row>
    <row r="113" spans="1:4" ht="16.5" customHeight="1" x14ac:dyDescent="0.25">
      <c r="A113" s="96" t="s">
        <v>155</v>
      </c>
      <c r="B113" s="68"/>
      <c r="C113" s="97"/>
      <c r="D113" s="68"/>
    </row>
    <row r="114" spans="1:4" ht="16.5" customHeight="1" x14ac:dyDescent="0.25">
      <c r="A114" s="96" t="s">
        <v>156</v>
      </c>
      <c r="B114" s="68"/>
      <c r="C114" s="97"/>
      <c r="D114" s="68"/>
    </row>
    <row r="115" spans="1:4" ht="16.5" customHeight="1" x14ac:dyDescent="0.25">
      <c r="A115" s="96" t="s">
        <v>157</v>
      </c>
      <c r="B115" s="68"/>
      <c r="C115" s="97"/>
      <c r="D115" s="68"/>
    </row>
    <row r="116" spans="1:4" ht="16.5" customHeight="1" x14ac:dyDescent="0.25">
      <c r="A116" s="96" t="s">
        <v>158</v>
      </c>
      <c r="B116" s="68"/>
      <c r="C116" s="97"/>
      <c r="D116" s="68"/>
    </row>
    <row r="117" spans="1:4" ht="16.5" customHeight="1" x14ac:dyDescent="0.25">
      <c r="A117" s="96" t="s">
        <v>159</v>
      </c>
      <c r="B117" s="68"/>
      <c r="C117" s="97"/>
      <c r="D117" s="68"/>
    </row>
    <row r="118" spans="1:4" ht="16.5" customHeight="1" x14ac:dyDescent="0.25">
      <c r="A118" s="96" t="s">
        <v>160</v>
      </c>
      <c r="B118" s="68"/>
      <c r="C118" s="97"/>
      <c r="D118" s="68"/>
    </row>
    <row r="119" spans="1:4" ht="16.5" customHeight="1" x14ac:dyDescent="0.25">
      <c r="A119" s="96" t="s">
        <v>161</v>
      </c>
      <c r="B119" s="68"/>
      <c r="C119" s="97"/>
      <c r="D119" s="68"/>
    </row>
    <row r="120" spans="1:4" ht="16.5" customHeight="1" x14ac:dyDescent="0.25">
      <c r="A120" s="96" t="s">
        <v>162</v>
      </c>
      <c r="B120" s="68"/>
      <c r="C120" s="97"/>
      <c r="D120" s="68"/>
    </row>
    <row r="121" spans="1:4" ht="16.5" customHeight="1" x14ac:dyDescent="0.25">
      <c r="A121" s="96" t="s">
        <v>163</v>
      </c>
      <c r="B121" s="68"/>
      <c r="C121" s="97"/>
      <c r="D121" s="68"/>
    </row>
    <row r="122" spans="1:4" ht="16.5" customHeight="1" x14ac:dyDescent="0.25">
      <c r="A122" s="96" t="s">
        <v>164</v>
      </c>
      <c r="B122" s="68"/>
      <c r="C122" s="97"/>
      <c r="D122" s="68"/>
    </row>
    <row r="123" spans="1:4" ht="16.5" customHeight="1" x14ac:dyDescent="0.25">
      <c r="A123" s="96" t="s">
        <v>165</v>
      </c>
      <c r="B123" s="68"/>
      <c r="C123" s="97"/>
      <c r="D123" s="68"/>
    </row>
    <row r="124" spans="1:4" ht="16.5" customHeight="1" x14ac:dyDescent="0.25">
      <c r="A124" s="96" t="s">
        <v>166</v>
      </c>
      <c r="B124" s="68"/>
      <c r="C124" s="97"/>
      <c r="D124" s="68"/>
    </row>
    <row r="125" spans="1:4" ht="16.5" customHeight="1" x14ac:dyDescent="0.25">
      <c r="A125" s="96" t="s">
        <v>167</v>
      </c>
      <c r="B125" s="68"/>
      <c r="C125" s="97"/>
      <c r="D125" s="68"/>
    </row>
    <row r="126" spans="1:4" ht="16.5" customHeight="1" x14ac:dyDescent="0.25">
      <c r="A126" s="96" t="s">
        <v>168</v>
      </c>
      <c r="B126" s="68"/>
      <c r="C126" s="97"/>
      <c r="D126" s="68"/>
    </row>
    <row r="127" spans="1:4" ht="16.5" customHeight="1" x14ac:dyDescent="0.25">
      <c r="A127" s="96" t="s">
        <v>169</v>
      </c>
      <c r="B127" s="68"/>
      <c r="C127" s="97"/>
      <c r="D127" s="68"/>
    </row>
    <row r="128" spans="1:4" ht="16.5" customHeight="1" x14ac:dyDescent="0.25">
      <c r="A128" s="96" t="s">
        <v>170</v>
      </c>
      <c r="B128" s="68"/>
      <c r="C128" s="97"/>
      <c r="D128" s="68"/>
    </row>
    <row r="129" spans="1:4" ht="16.5" customHeight="1" x14ac:dyDescent="0.25">
      <c r="A129" s="96" t="s">
        <v>171</v>
      </c>
      <c r="B129" s="68"/>
      <c r="C129" s="97"/>
      <c r="D129" s="68"/>
    </row>
    <row r="130" spans="1:4" ht="16.5" customHeight="1" x14ac:dyDescent="0.25">
      <c r="A130" s="99" t="s">
        <v>172</v>
      </c>
      <c r="B130" s="68"/>
      <c r="C130" s="97"/>
      <c r="D130" s="68"/>
    </row>
    <row r="131" spans="1:4" ht="16.5" customHeight="1" x14ac:dyDescent="0.25">
      <c r="A131" s="99" t="s">
        <v>173</v>
      </c>
      <c r="B131" s="68"/>
      <c r="C131" s="97"/>
      <c r="D131" s="68"/>
    </row>
    <row r="132" spans="1:4" ht="16.5" customHeight="1" x14ac:dyDescent="0.25">
      <c r="A132" s="99" t="s">
        <v>174</v>
      </c>
      <c r="B132" s="68"/>
      <c r="C132" s="97"/>
      <c r="D132" s="68"/>
    </row>
    <row r="133" spans="1:4" ht="16.5" customHeight="1" x14ac:dyDescent="0.25">
      <c r="A133" s="96" t="s">
        <v>175</v>
      </c>
      <c r="B133" s="68"/>
      <c r="C133" s="97"/>
      <c r="D133" s="68"/>
    </row>
    <row r="134" spans="1:4" ht="16.5" customHeight="1" x14ac:dyDescent="0.25">
      <c r="A134" s="96" t="s">
        <v>176</v>
      </c>
      <c r="B134" s="68"/>
      <c r="C134" s="97"/>
      <c r="D134" s="68"/>
    </row>
    <row r="135" spans="1:4" ht="16.5" customHeight="1" x14ac:dyDescent="0.25">
      <c r="A135" s="99" t="s">
        <v>177</v>
      </c>
      <c r="B135" s="68"/>
      <c r="C135" s="97"/>
      <c r="D135" s="68"/>
    </row>
    <row r="136" spans="1:4" ht="16.5" customHeight="1" x14ac:dyDescent="0.25">
      <c r="A136" s="96" t="s">
        <v>178</v>
      </c>
      <c r="B136" s="68"/>
      <c r="C136" s="97"/>
      <c r="D136" s="68"/>
    </row>
    <row r="137" spans="1:4" ht="16.5" customHeight="1" x14ac:dyDescent="0.25">
      <c r="A137" s="96" t="s">
        <v>179</v>
      </c>
      <c r="B137" s="68"/>
      <c r="C137" s="97"/>
      <c r="D137" s="68"/>
    </row>
    <row r="138" spans="1:4" ht="16.5" customHeight="1" x14ac:dyDescent="0.25">
      <c r="A138" s="96" t="s">
        <v>180</v>
      </c>
      <c r="B138" s="68"/>
      <c r="C138" s="97"/>
      <c r="D138" s="68"/>
    </row>
    <row r="139" spans="1:4" ht="16.5" customHeight="1" x14ac:dyDescent="0.25">
      <c r="A139" s="96" t="s">
        <v>181</v>
      </c>
      <c r="B139" s="68"/>
      <c r="C139" s="97"/>
      <c r="D139" s="68"/>
    </row>
    <row r="140" spans="1:4" ht="16.5" customHeight="1" x14ac:dyDescent="0.25">
      <c r="A140" s="96" t="s">
        <v>182</v>
      </c>
      <c r="B140" s="68"/>
      <c r="C140" s="97"/>
      <c r="D140" s="68"/>
    </row>
    <row r="141" spans="1:4" ht="16.5" customHeight="1" x14ac:dyDescent="0.25">
      <c r="A141" s="98" t="s">
        <v>183</v>
      </c>
      <c r="B141" s="68"/>
      <c r="C141" s="97"/>
      <c r="D141" s="68"/>
    </row>
    <row r="142" spans="1:4" ht="16.5" customHeight="1" x14ac:dyDescent="0.25">
      <c r="A142" s="96" t="s">
        <v>184</v>
      </c>
      <c r="B142" s="68"/>
      <c r="C142" s="97"/>
      <c r="D142" s="68"/>
    </row>
    <row r="143" spans="1:4" ht="16.5" customHeight="1" x14ac:dyDescent="0.25">
      <c r="A143" s="96" t="s">
        <v>185</v>
      </c>
      <c r="B143" s="68"/>
      <c r="C143" s="97"/>
      <c r="D143" s="68"/>
    </row>
    <row r="144" spans="1:4" ht="16.5" customHeight="1" x14ac:dyDescent="0.25">
      <c r="A144" s="96" t="s">
        <v>186</v>
      </c>
      <c r="B144" s="68"/>
      <c r="C144" s="97"/>
      <c r="D144" s="68"/>
    </row>
    <row r="145" spans="1:4" ht="16.5" customHeight="1" x14ac:dyDescent="0.25">
      <c r="A145" s="96" t="s">
        <v>187</v>
      </c>
      <c r="B145" s="68"/>
      <c r="C145" s="97"/>
      <c r="D145" s="68"/>
    </row>
    <row r="146" spans="1:4" ht="16.5" customHeight="1" x14ac:dyDescent="0.25">
      <c r="A146" s="96" t="s">
        <v>188</v>
      </c>
      <c r="B146" s="68"/>
      <c r="C146" s="97"/>
      <c r="D146" s="68"/>
    </row>
    <row r="147" spans="1:4" ht="16.5" customHeight="1" x14ac:dyDescent="0.25">
      <c r="A147" s="96" t="s">
        <v>189</v>
      </c>
      <c r="B147" s="68"/>
      <c r="C147" s="97"/>
      <c r="D147" s="68"/>
    </row>
    <row r="148" spans="1:4" ht="16.5" customHeight="1" x14ac:dyDescent="0.25">
      <c r="A148" s="96" t="s">
        <v>190</v>
      </c>
      <c r="B148" s="68"/>
      <c r="C148" s="97"/>
      <c r="D148" s="68"/>
    </row>
    <row r="149" spans="1:4" ht="16.5" customHeight="1" x14ac:dyDescent="0.25">
      <c r="A149" s="96" t="s">
        <v>191</v>
      </c>
      <c r="B149" s="68"/>
      <c r="C149" s="97"/>
      <c r="D149" s="68"/>
    </row>
    <row r="150" spans="1:4" ht="16.5" customHeight="1" x14ac:dyDescent="0.25">
      <c r="A150" s="96" t="s">
        <v>192</v>
      </c>
      <c r="B150" s="68"/>
      <c r="C150" s="97"/>
      <c r="D150" s="68"/>
    </row>
    <row r="151" spans="1:4" ht="16.5" customHeight="1" x14ac:dyDescent="0.25">
      <c r="A151" s="96" t="s">
        <v>193</v>
      </c>
      <c r="B151" s="68"/>
      <c r="C151" s="97"/>
      <c r="D151" s="68"/>
    </row>
    <row r="152" spans="1:4" ht="16.5" customHeight="1" x14ac:dyDescent="0.25">
      <c r="A152" s="96" t="s">
        <v>194</v>
      </c>
      <c r="B152" s="68"/>
      <c r="C152" s="97"/>
      <c r="D152" s="68"/>
    </row>
    <row r="153" spans="1:4" ht="16.5" customHeight="1" x14ac:dyDescent="0.25">
      <c r="A153" s="96" t="s">
        <v>195</v>
      </c>
      <c r="B153" s="68"/>
      <c r="C153" s="97"/>
      <c r="D153" s="68"/>
    </row>
    <row r="154" spans="1:4" ht="16.5" customHeight="1" x14ac:dyDescent="0.25">
      <c r="A154" s="96" t="s">
        <v>196</v>
      </c>
      <c r="B154" s="68"/>
      <c r="C154" s="97"/>
      <c r="D154" s="68"/>
    </row>
    <row r="155" spans="1:4" ht="16.5" customHeight="1" x14ac:dyDescent="0.25">
      <c r="A155" s="96" t="s">
        <v>197</v>
      </c>
      <c r="B155" s="68"/>
      <c r="C155" s="97"/>
      <c r="D155" s="68"/>
    </row>
    <row r="156" spans="1:4" ht="16.5" customHeight="1" x14ac:dyDescent="0.25">
      <c r="A156" s="96" t="s">
        <v>198</v>
      </c>
      <c r="B156" s="68"/>
      <c r="C156" s="97"/>
      <c r="D156" s="68"/>
    </row>
    <row r="157" spans="1:4" ht="16.5" customHeight="1" x14ac:dyDescent="0.25">
      <c r="A157" s="96" t="s">
        <v>199</v>
      </c>
      <c r="B157" s="68"/>
      <c r="C157" s="97"/>
      <c r="D157" s="68"/>
    </row>
    <row r="158" spans="1:4" ht="16.5" customHeight="1" x14ac:dyDescent="0.25">
      <c r="A158" s="96" t="s">
        <v>200</v>
      </c>
      <c r="B158" s="68"/>
      <c r="C158" s="97"/>
      <c r="D158" s="68"/>
    </row>
    <row r="159" spans="1:4" ht="16.5" customHeight="1" x14ac:dyDescent="0.25">
      <c r="A159" s="96" t="s">
        <v>201</v>
      </c>
      <c r="B159" s="68"/>
      <c r="C159" s="97"/>
      <c r="D159" s="68"/>
    </row>
    <row r="160" spans="1:4" ht="16.5" customHeight="1" x14ac:dyDescent="0.25">
      <c r="A160" s="96" t="s">
        <v>202</v>
      </c>
      <c r="B160" s="68"/>
      <c r="C160" s="97"/>
      <c r="D160" s="68"/>
    </row>
    <row r="161" spans="1:4" ht="16.5" customHeight="1" x14ac:dyDescent="0.25">
      <c r="A161" s="96" t="s">
        <v>203</v>
      </c>
      <c r="B161" s="68"/>
      <c r="C161" s="97"/>
      <c r="D161" s="68"/>
    </row>
    <row r="162" spans="1:4" ht="16.5" customHeight="1" x14ac:dyDescent="0.25">
      <c r="A162" s="96" t="s">
        <v>204</v>
      </c>
      <c r="B162" s="68"/>
      <c r="C162" s="97"/>
      <c r="D162" s="68"/>
    </row>
    <row r="163" spans="1:4" ht="16.5" customHeight="1" x14ac:dyDescent="0.25">
      <c r="A163" s="96" t="s">
        <v>205</v>
      </c>
      <c r="B163" s="68"/>
      <c r="C163" s="97"/>
      <c r="D163" s="68"/>
    </row>
    <row r="164" spans="1:4" ht="16.5" customHeight="1" x14ac:dyDescent="0.25">
      <c r="A164" s="96" t="s">
        <v>206</v>
      </c>
      <c r="B164" s="68"/>
      <c r="C164" s="97"/>
      <c r="D164" s="68"/>
    </row>
    <row r="165" spans="1:4" ht="16.5" customHeight="1" x14ac:dyDescent="0.25">
      <c r="A165" s="98" t="s">
        <v>207</v>
      </c>
      <c r="B165" s="68"/>
      <c r="C165" s="97"/>
      <c r="D165" s="68"/>
    </row>
    <row r="166" spans="1:4" ht="16.5" customHeight="1" x14ac:dyDescent="0.25">
      <c r="A166" s="96" t="s">
        <v>208</v>
      </c>
      <c r="B166" s="68"/>
      <c r="C166" s="97"/>
      <c r="D166" s="68"/>
    </row>
    <row r="167" spans="1:4" ht="16.5" customHeight="1" x14ac:dyDescent="0.25">
      <c r="A167" s="96" t="s">
        <v>209</v>
      </c>
      <c r="B167" s="68"/>
      <c r="C167" s="97"/>
      <c r="D167" s="68"/>
    </row>
    <row r="168" spans="1:4" ht="16.5" customHeight="1" x14ac:dyDescent="0.25">
      <c r="A168" s="101" t="s">
        <v>210</v>
      </c>
      <c r="B168" s="68"/>
      <c r="C168" s="97"/>
      <c r="D168" s="68"/>
    </row>
    <row r="169" spans="1:4" ht="16.5" customHeight="1" x14ac:dyDescent="0.25">
      <c r="A169" s="96" t="s">
        <v>211</v>
      </c>
      <c r="B169" s="68"/>
      <c r="C169" s="97"/>
      <c r="D169" s="68"/>
    </row>
    <row r="170" spans="1:4" ht="16.5" customHeight="1" x14ac:dyDescent="0.25">
      <c r="A170" s="96" t="s">
        <v>212</v>
      </c>
      <c r="B170" s="68"/>
      <c r="C170" s="97"/>
      <c r="D170" s="68"/>
    </row>
    <row r="171" spans="1:4" ht="16.5" customHeight="1" x14ac:dyDescent="0.25">
      <c r="A171" s="96" t="s">
        <v>213</v>
      </c>
      <c r="B171" s="68"/>
      <c r="C171" s="97"/>
      <c r="D171" s="68"/>
    </row>
    <row r="172" spans="1:4" ht="16.5" customHeight="1" x14ac:dyDescent="0.25">
      <c r="A172" s="96" t="s">
        <v>214</v>
      </c>
      <c r="B172" s="68"/>
      <c r="C172" s="97"/>
      <c r="D172" s="68"/>
    </row>
    <row r="173" spans="1:4" ht="16.5" customHeight="1" x14ac:dyDescent="0.25">
      <c r="A173" s="96" t="s">
        <v>215</v>
      </c>
      <c r="B173" s="68"/>
      <c r="C173" s="97"/>
      <c r="D173" s="68"/>
    </row>
    <row r="174" spans="1:4" ht="16.5" customHeight="1" x14ac:dyDescent="0.25">
      <c r="A174" s="96" t="s">
        <v>216</v>
      </c>
      <c r="B174" s="68"/>
      <c r="C174" s="97"/>
      <c r="D174" s="68"/>
    </row>
    <row r="175" spans="1:4" ht="16.5" customHeight="1" x14ac:dyDescent="0.25">
      <c r="A175" s="96" t="s">
        <v>217</v>
      </c>
      <c r="B175" s="68"/>
      <c r="C175" s="97"/>
      <c r="D175" s="68"/>
    </row>
    <row r="176" spans="1:4" ht="16.5" customHeight="1" x14ac:dyDescent="0.25">
      <c r="A176" s="98" t="s">
        <v>218</v>
      </c>
      <c r="B176" s="68"/>
      <c r="C176" s="97"/>
      <c r="D176" s="68"/>
    </row>
    <row r="177" spans="1:4" ht="16.5" customHeight="1" x14ac:dyDescent="0.25">
      <c r="A177" s="98" t="s">
        <v>219</v>
      </c>
      <c r="B177" s="68"/>
      <c r="C177" s="97"/>
      <c r="D177" s="68"/>
    </row>
    <row r="178" spans="1:4" ht="16.5" customHeight="1" x14ac:dyDescent="0.25">
      <c r="A178" s="96" t="s">
        <v>220</v>
      </c>
      <c r="B178" s="68"/>
      <c r="C178" s="97"/>
      <c r="D178" s="68"/>
    </row>
    <row r="179" spans="1:4" ht="16.5" customHeight="1" x14ac:dyDescent="0.25">
      <c r="A179" s="96" t="s">
        <v>221</v>
      </c>
      <c r="B179" s="68"/>
      <c r="C179" s="97"/>
      <c r="D179" s="68"/>
    </row>
    <row r="180" spans="1:4" ht="16.5" customHeight="1" x14ac:dyDescent="0.25">
      <c r="A180" s="96" t="s">
        <v>222</v>
      </c>
      <c r="B180" s="68"/>
      <c r="C180" s="97"/>
      <c r="D180" s="68"/>
    </row>
    <row r="181" spans="1:4" ht="16.5" customHeight="1" x14ac:dyDescent="0.25">
      <c r="A181" s="96" t="s">
        <v>223</v>
      </c>
      <c r="B181" s="68"/>
      <c r="C181" s="97"/>
      <c r="D181" s="68"/>
    </row>
    <row r="182" spans="1:4" ht="16.5" customHeight="1" x14ac:dyDescent="0.25">
      <c r="A182" s="96" t="s">
        <v>224</v>
      </c>
      <c r="B182" s="68"/>
      <c r="C182" s="97"/>
      <c r="D182" s="68"/>
    </row>
    <row r="183" spans="1:4" ht="16.5" customHeight="1" x14ac:dyDescent="0.25">
      <c r="A183" s="96" t="s">
        <v>225</v>
      </c>
      <c r="B183" s="68"/>
      <c r="C183" s="97"/>
      <c r="D183" s="68"/>
    </row>
    <row r="184" spans="1:4" ht="16.5" customHeight="1" x14ac:dyDescent="0.25">
      <c r="A184" s="96" t="s">
        <v>226</v>
      </c>
      <c r="B184" s="68"/>
      <c r="C184" s="97"/>
      <c r="D184" s="68"/>
    </row>
    <row r="185" spans="1:4" ht="16.5" customHeight="1" x14ac:dyDescent="0.25">
      <c r="A185" s="96" t="s">
        <v>227</v>
      </c>
      <c r="B185" s="68"/>
      <c r="C185" s="97"/>
      <c r="D185" s="68"/>
    </row>
    <row r="186" spans="1:4" ht="16.5" customHeight="1" x14ac:dyDescent="0.25">
      <c r="A186" s="99" t="s">
        <v>228</v>
      </c>
      <c r="B186" s="68"/>
      <c r="C186" s="97"/>
      <c r="D186" s="68"/>
    </row>
    <row r="187" spans="1:4" ht="16.5" customHeight="1" x14ac:dyDescent="0.25">
      <c r="A187" s="96" t="s">
        <v>229</v>
      </c>
      <c r="B187" s="68"/>
      <c r="C187" s="97"/>
      <c r="D187" s="68"/>
    </row>
    <row r="188" spans="1:4" ht="16.5" customHeight="1" x14ac:dyDescent="0.25">
      <c r="A188" s="96" t="s">
        <v>230</v>
      </c>
      <c r="B188" s="68"/>
      <c r="C188" s="97"/>
      <c r="D188" s="68"/>
    </row>
    <row r="189" spans="1:4" ht="16.5" customHeight="1" x14ac:dyDescent="0.25">
      <c r="A189" s="96" t="s">
        <v>231</v>
      </c>
      <c r="B189" s="68"/>
      <c r="C189" s="97"/>
      <c r="D189" s="68"/>
    </row>
    <row r="190" spans="1:4" ht="16.5" customHeight="1" x14ac:dyDescent="0.25">
      <c r="A190" s="96" t="s">
        <v>232</v>
      </c>
      <c r="B190" s="68"/>
      <c r="C190" s="97"/>
      <c r="D190" s="68"/>
    </row>
    <row r="191" spans="1:4" ht="16.5" customHeight="1" x14ac:dyDescent="0.25">
      <c r="A191" s="96" t="s">
        <v>233</v>
      </c>
      <c r="B191" s="68"/>
      <c r="C191" s="97"/>
      <c r="D191" s="68"/>
    </row>
    <row r="192" spans="1:4" ht="16.5" customHeight="1" x14ac:dyDescent="0.25">
      <c r="A192" s="96" t="s">
        <v>234</v>
      </c>
      <c r="B192" s="68"/>
      <c r="C192" s="97"/>
      <c r="D192" s="68"/>
    </row>
    <row r="193" spans="1:4" ht="16.5" customHeight="1" x14ac:dyDescent="0.25">
      <c r="A193" s="96" t="s">
        <v>235</v>
      </c>
      <c r="B193" s="68"/>
      <c r="C193" s="97"/>
      <c r="D193" s="68"/>
    </row>
    <row r="194" spans="1:4" ht="16.5" customHeight="1" x14ac:dyDescent="0.25">
      <c r="A194" s="101" t="s">
        <v>236</v>
      </c>
      <c r="B194" s="68"/>
      <c r="C194" s="97"/>
      <c r="D194" s="68"/>
    </row>
    <row r="195" spans="1:4" ht="16.5" customHeight="1" x14ac:dyDescent="0.25">
      <c r="A195" s="98" t="s">
        <v>34</v>
      </c>
      <c r="B195" s="68"/>
      <c r="C195" s="97"/>
      <c r="D195" s="68"/>
    </row>
    <row r="196" spans="1:4" ht="16.5" customHeight="1" x14ac:dyDescent="0.25">
      <c r="A196" s="96" t="s">
        <v>237</v>
      </c>
      <c r="B196" s="68"/>
      <c r="C196" s="97"/>
      <c r="D196" s="68"/>
    </row>
    <row r="197" spans="1:4" ht="16.5" customHeight="1" x14ac:dyDescent="0.25">
      <c r="A197" s="96" t="s">
        <v>238</v>
      </c>
      <c r="B197" s="68"/>
      <c r="C197" s="97"/>
      <c r="D197" s="68"/>
    </row>
    <row r="198" spans="1:4" ht="16.5" customHeight="1" x14ac:dyDescent="0.25">
      <c r="A198" s="96" t="s">
        <v>239</v>
      </c>
      <c r="B198" s="68"/>
      <c r="C198" s="97"/>
      <c r="D198" s="68"/>
    </row>
    <row r="199" spans="1:4" ht="16.5" customHeight="1" x14ac:dyDescent="0.25">
      <c r="A199" s="96" t="s">
        <v>240</v>
      </c>
      <c r="B199" s="68"/>
      <c r="C199" s="97"/>
      <c r="D199" s="68"/>
    </row>
    <row r="200" spans="1:4" ht="16.5" customHeight="1" x14ac:dyDescent="0.25">
      <c r="A200" s="96" t="s">
        <v>241</v>
      </c>
      <c r="B200" s="68"/>
      <c r="C200" s="97"/>
      <c r="D200" s="68"/>
    </row>
    <row r="201" spans="1:4" ht="16.5" customHeight="1" x14ac:dyDescent="0.25">
      <c r="A201" s="96" t="s">
        <v>242</v>
      </c>
      <c r="B201" s="68"/>
      <c r="C201" s="97"/>
      <c r="D201" s="68"/>
    </row>
    <row r="202" spans="1:4" ht="16.5" customHeight="1" x14ac:dyDescent="0.25">
      <c r="A202" s="96" t="s">
        <v>243</v>
      </c>
      <c r="B202" s="68"/>
      <c r="C202" s="97"/>
      <c r="D202" s="68"/>
    </row>
    <row r="203" spans="1:4" ht="16.5" customHeight="1" x14ac:dyDescent="0.25">
      <c r="A203" s="98" t="s">
        <v>244</v>
      </c>
      <c r="B203" s="68"/>
      <c r="C203" s="97"/>
      <c r="D203" s="68"/>
    </row>
    <row r="204" spans="1:4" ht="16.5" customHeight="1" x14ac:dyDescent="0.25">
      <c r="A204" s="96" t="s">
        <v>245</v>
      </c>
      <c r="B204" s="68"/>
      <c r="C204" s="97"/>
      <c r="D204" s="68"/>
    </row>
    <row r="205" spans="1:4" ht="16.5" customHeight="1" x14ac:dyDescent="0.25">
      <c r="A205" s="96" t="s">
        <v>246</v>
      </c>
      <c r="B205" s="68"/>
      <c r="C205" s="97"/>
      <c r="D205" s="68"/>
    </row>
    <row r="206" spans="1:4" ht="16.5" customHeight="1" x14ac:dyDescent="0.25">
      <c r="A206" s="96" t="s">
        <v>247</v>
      </c>
      <c r="B206" s="68"/>
      <c r="C206" s="97"/>
      <c r="D206" s="68"/>
    </row>
    <row r="207" spans="1:4" ht="16.5" customHeight="1" x14ac:dyDescent="0.25">
      <c r="A207" s="96" t="s">
        <v>248</v>
      </c>
      <c r="B207" s="68"/>
      <c r="C207" s="97"/>
      <c r="D207" s="68"/>
    </row>
    <row r="208" spans="1:4" ht="16.5" customHeight="1" x14ac:dyDescent="0.25">
      <c r="A208" s="96" t="s">
        <v>249</v>
      </c>
      <c r="B208" s="68"/>
      <c r="C208" s="97"/>
      <c r="D208" s="68"/>
    </row>
    <row r="209" spans="1:4" ht="16.5" customHeight="1" x14ac:dyDescent="0.25">
      <c r="A209" s="96" t="s">
        <v>250</v>
      </c>
      <c r="B209" s="68"/>
      <c r="C209" s="97"/>
      <c r="D209" s="68"/>
    </row>
    <row r="210" spans="1:4" ht="16.5" customHeight="1" x14ac:dyDescent="0.25">
      <c r="A210" s="96" t="s">
        <v>251</v>
      </c>
      <c r="B210" s="68"/>
      <c r="C210" s="97"/>
      <c r="D210" s="68"/>
    </row>
    <row r="211" spans="1:4" ht="16.5" customHeight="1" x14ac:dyDescent="0.25">
      <c r="A211" s="96" t="s">
        <v>252</v>
      </c>
      <c r="B211" s="68"/>
      <c r="C211" s="97"/>
      <c r="D211" s="68"/>
    </row>
    <row r="212" spans="1:4" ht="16.5" customHeight="1" x14ac:dyDescent="0.25">
      <c r="A212" s="96" t="s">
        <v>253</v>
      </c>
      <c r="B212" s="68"/>
      <c r="C212" s="97"/>
      <c r="D212" s="68"/>
    </row>
    <row r="213" spans="1:4" ht="16.5" customHeight="1" x14ac:dyDescent="0.25">
      <c r="A213" s="96" t="s">
        <v>254</v>
      </c>
      <c r="B213" s="68"/>
      <c r="C213" s="97"/>
      <c r="D213" s="68"/>
    </row>
    <row r="214" spans="1:4" ht="16.5" customHeight="1" x14ac:dyDescent="0.25">
      <c r="A214" s="96" t="s">
        <v>255</v>
      </c>
      <c r="B214" s="68"/>
      <c r="C214" s="97"/>
      <c r="D214" s="68"/>
    </row>
    <row r="215" spans="1:4" ht="16.5" customHeight="1" x14ac:dyDescent="0.25">
      <c r="A215" s="96" t="s">
        <v>256</v>
      </c>
      <c r="B215" s="68"/>
      <c r="C215" s="97"/>
      <c r="D215" s="68"/>
    </row>
    <row r="216" spans="1:4" ht="16.5" customHeight="1" x14ac:dyDescent="0.25">
      <c r="A216" s="96" t="s">
        <v>257</v>
      </c>
      <c r="B216" s="68"/>
      <c r="C216" s="97"/>
      <c r="D216" s="68"/>
    </row>
    <row r="217" spans="1:4" ht="16.5" customHeight="1" x14ac:dyDescent="0.25">
      <c r="A217" s="96" t="s">
        <v>258</v>
      </c>
      <c r="B217" s="68"/>
      <c r="C217" s="97"/>
      <c r="D217" s="68"/>
    </row>
    <row r="218" spans="1:4" ht="16.5" customHeight="1" x14ac:dyDescent="0.25">
      <c r="A218" s="96" t="s">
        <v>259</v>
      </c>
      <c r="B218" s="68"/>
      <c r="C218" s="97"/>
      <c r="D218" s="68"/>
    </row>
    <row r="219" spans="1:4" ht="16.5" customHeight="1" x14ac:dyDescent="0.25">
      <c r="A219" s="96" t="s">
        <v>260</v>
      </c>
      <c r="B219" s="68"/>
      <c r="C219" s="97"/>
      <c r="D219" s="68"/>
    </row>
    <row r="220" spans="1:4" ht="16.5" customHeight="1" x14ac:dyDescent="0.25">
      <c r="A220" s="96" t="s">
        <v>261</v>
      </c>
      <c r="B220" s="68"/>
      <c r="C220" s="97"/>
      <c r="D220" s="68"/>
    </row>
    <row r="221" spans="1:4" ht="16.5" customHeight="1" x14ac:dyDescent="0.25">
      <c r="A221" s="96" t="s">
        <v>262</v>
      </c>
      <c r="B221" s="68"/>
      <c r="C221" s="97"/>
      <c r="D221" s="68"/>
    </row>
    <row r="222" spans="1:4" ht="16.5" customHeight="1" x14ac:dyDescent="0.25">
      <c r="A222" s="96" t="s">
        <v>263</v>
      </c>
      <c r="B222" s="68"/>
      <c r="C222" s="97"/>
      <c r="D222" s="68"/>
    </row>
    <row r="223" spans="1:4" ht="16.5" customHeight="1" x14ac:dyDescent="0.25">
      <c r="A223" s="96" t="s">
        <v>264</v>
      </c>
      <c r="B223" s="68"/>
      <c r="C223" s="97"/>
      <c r="D223" s="68"/>
    </row>
    <row r="224" spans="1:4" ht="16.5" customHeight="1" x14ac:dyDescent="0.25">
      <c r="A224" s="96" t="s">
        <v>265</v>
      </c>
      <c r="B224" s="68"/>
      <c r="C224" s="97"/>
      <c r="D224" s="68"/>
    </row>
    <row r="225" spans="1:4" ht="16.5" customHeight="1" x14ac:dyDescent="0.25">
      <c r="A225" s="96" t="s">
        <v>266</v>
      </c>
      <c r="B225" s="68"/>
      <c r="C225" s="97"/>
      <c r="D225" s="68"/>
    </row>
    <row r="226" spans="1:4" ht="16.5" customHeight="1" x14ac:dyDescent="0.25">
      <c r="A226" s="96" t="s">
        <v>267</v>
      </c>
      <c r="B226" s="68"/>
      <c r="C226" s="97"/>
      <c r="D226" s="68"/>
    </row>
    <row r="227" spans="1:4" ht="16.5" customHeight="1" x14ac:dyDescent="0.25">
      <c r="A227" s="96" t="s">
        <v>268</v>
      </c>
      <c r="B227" s="68"/>
      <c r="C227" s="97"/>
      <c r="D227" s="68"/>
    </row>
    <row r="228" spans="1:4" ht="16.5" customHeight="1" x14ac:dyDescent="0.25">
      <c r="A228" s="98" t="s">
        <v>269</v>
      </c>
      <c r="B228" s="68"/>
      <c r="C228" s="97"/>
      <c r="D228" s="68"/>
    </row>
    <row r="229" spans="1:4" ht="16.5" customHeight="1" x14ac:dyDescent="0.25">
      <c r="A229" s="101" t="s">
        <v>270</v>
      </c>
      <c r="B229" s="68"/>
      <c r="C229" s="97"/>
      <c r="D229" s="68"/>
    </row>
    <row r="230" spans="1:4" ht="16.5" customHeight="1" x14ac:dyDescent="0.25">
      <c r="A230" s="96" t="s">
        <v>271</v>
      </c>
      <c r="B230" s="68"/>
      <c r="C230" s="97"/>
      <c r="D230" s="68"/>
    </row>
    <row r="231" spans="1:4" ht="16.5" customHeight="1" x14ac:dyDescent="0.25">
      <c r="A231" s="96" t="s">
        <v>272</v>
      </c>
      <c r="B231" s="68"/>
      <c r="C231" s="97"/>
      <c r="D231" s="68"/>
    </row>
    <row r="232" spans="1:4" ht="16.5" customHeight="1" x14ac:dyDescent="0.25">
      <c r="A232" s="99" t="s">
        <v>273</v>
      </c>
      <c r="B232" s="68"/>
      <c r="C232" s="97"/>
      <c r="D232" s="68"/>
    </row>
    <row r="233" spans="1:4" ht="16.5" customHeight="1" x14ac:dyDescent="0.25">
      <c r="A233" s="96" t="s">
        <v>274</v>
      </c>
      <c r="B233" s="68"/>
      <c r="C233" s="97"/>
      <c r="D233" s="68"/>
    </row>
    <row r="234" spans="1:4" ht="16.5" customHeight="1" x14ac:dyDescent="0.25">
      <c r="A234" s="101" t="s">
        <v>275</v>
      </c>
      <c r="B234" s="68"/>
      <c r="C234" s="97"/>
      <c r="D234" s="68"/>
    </row>
    <row r="235" spans="1:4" ht="16.5" customHeight="1" x14ac:dyDescent="0.25">
      <c r="A235" s="96" t="s">
        <v>276</v>
      </c>
      <c r="B235" s="68"/>
      <c r="C235" s="97"/>
      <c r="D235" s="68"/>
    </row>
    <row r="236" spans="1:4" ht="16.5" customHeight="1" x14ac:dyDescent="0.25">
      <c r="A236" s="96" t="s">
        <v>277</v>
      </c>
      <c r="B236" s="68"/>
      <c r="C236" s="97"/>
      <c r="D236" s="68"/>
    </row>
    <row r="237" spans="1:4" ht="16.5" customHeight="1" x14ac:dyDescent="0.25">
      <c r="A237" s="98" t="s">
        <v>278</v>
      </c>
      <c r="B237" s="68"/>
      <c r="C237" s="97"/>
      <c r="D237" s="68"/>
    </row>
    <row r="238" spans="1:4" ht="16.5" customHeight="1" x14ac:dyDescent="0.25">
      <c r="A238" s="96" t="s">
        <v>279</v>
      </c>
      <c r="B238" s="68"/>
      <c r="C238" s="97"/>
      <c r="D238" s="68"/>
    </row>
    <row r="239" spans="1:4" ht="16.5" customHeight="1" x14ac:dyDescent="0.25">
      <c r="A239" s="96" t="s">
        <v>280</v>
      </c>
      <c r="B239" s="68"/>
      <c r="C239" s="97"/>
      <c r="D239" s="68"/>
    </row>
    <row r="240" spans="1:4" ht="16.5" customHeight="1" x14ac:dyDescent="0.25">
      <c r="A240" s="96" t="s">
        <v>281</v>
      </c>
      <c r="B240" s="68"/>
      <c r="C240" s="97"/>
      <c r="D240" s="68"/>
    </row>
    <row r="241" spans="1:4" ht="16.5" customHeight="1" x14ac:dyDescent="0.25">
      <c r="A241" s="96" t="s">
        <v>282</v>
      </c>
      <c r="B241" s="68"/>
      <c r="C241" s="97"/>
      <c r="D241" s="68"/>
    </row>
    <row r="242" spans="1:4" ht="16.5" customHeight="1" x14ac:dyDescent="0.25">
      <c r="A242" s="96" t="s">
        <v>283</v>
      </c>
      <c r="B242" s="68"/>
      <c r="C242" s="97"/>
      <c r="D242" s="68"/>
    </row>
    <row r="243" spans="1:4" ht="16.5" customHeight="1" x14ac:dyDescent="0.25">
      <c r="A243" s="96" t="s">
        <v>284</v>
      </c>
      <c r="B243" s="68"/>
      <c r="C243" s="97"/>
      <c r="D243" s="68"/>
    </row>
    <row r="244" spans="1:4" ht="16.5" customHeight="1" x14ac:dyDescent="0.25">
      <c r="A244" s="96" t="s">
        <v>285</v>
      </c>
      <c r="B244" s="68"/>
      <c r="C244" s="97"/>
      <c r="D244" s="68"/>
    </row>
    <row r="245" spans="1:4" ht="16.5" customHeight="1" x14ac:dyDescent="0.25">
      <c r="A245" s="96" t="s">
        <v>286</v>
      </c>
      <c r="B245" s="68"/>
      <c r="C245" s="97"/>
      <c r="D245" s="68"/>
    </row>
    <row r="246" spans="1:4" ht="16.5" customHeight="1" x14ac:dyDescent="0.25">
      <c r="A246" s="96" t="s">
        <v>287</v>
      </c>
      <c r="B246" s="68"/>
      <c r="C246" s="97"/>
      <c r="D246" s="68"/>
    </row>
    <row r="247" spans="1:4" ht="16.5" customHeight="1" x14ac:dyDescent="0.25">
      <c r="A247" s="98" t="s">
        <v>288</v>
      </c>
      <c r="B247" s="68"/>
      <c r="C247" s="97"/>
      <c r="D247" s="68"/>
    </row>
    <row r="248" spans="1:4" ht="16.5" customHeight="1" x14ac:dyDescent="0.25">
      <c r="A248" s="96" t="s">
        <v>289</v>
      </c>
      <c r="B248" s="68"/>
      <c r="C248" s="97"/>
      <c r="D248" s="68"/>
    </row>
    <row r="249" spans="1:4" ht="16.5" customHeight="1" x14ac:dyDescent="0.25">
      <c r="A249" s="96" t="s">
        <v>290</v>
      </c>
      <c r="B249" s="68"/>
      <c r="C249" s="97"/>
      <c r="D249" s="68"/>
    </row>
    <row r="250" spans="1:4" ht="16.5" customHeight="1" x14ac:dyDescent="0.25">
      <c r="A250" s="96" t="s">
        <v>291</v>
      </c>
      <c r="B250" s="68"/>
      <c r="C250" s="97"/>
      <c r="D250" s="68"/>
    </row>
    <row r="251" spans="1:4" ht="16.5" customHeight="1" x14ac:dyDescent="0.25">
      <c r="A251" s="96" t="s">
        <v>292</v>
      </c>
      <c r="B251" s="68"/>
      <c r="C251" s="97"/>
      <c r="D251" s="68"/>
    </row>
    <row r="252" spans="1:4" ht="16.5" customHeight="1" x14ac:dyDescent="0.25">
      <c r="A252" s="96" t="s">
        <v>293</v>
      </c>
      <c r="B252" s="68"/>
      <c r="C252" s="97"/>
      <c r="D252" s="68"/>
    </row>
    <row r="253" spans="1:4" ht="16.5" customHeight="1" x14ac:dyDescent="0.25">
      <c r="A253" s="96" t="s">
        <v>294</v>
      </c>
      <c r="B253" s="68"/>
      <c r="C253" s="97"/>
      <c r="D253" s="68"/>
    </row>
    <row r="254" spans="1:4" ht="16.5" customHeight="1" x14ac:dyDescent="0.25">
      <c r="A254" s="96" t="s">
        <v>295</v>
      </c>
      <c r="B254" s="68"/>
      <c r="C254" s="97"/>
      <c r="D254" s="68"/>
    </row>
    <row r="255" spans="1:4" ht="16.5" customHeight="1" x14ac:dyDescent="0.25">
      <c r="A255" s="96" t="s">
        <v>296</v>
      </c>
      <c r="B255" s="68"/>
      <c r="C255" s="97"/>
      <c r="D255" s="68"/>
    </row>
    <row r="256" spans="1:4" ht="16.5" customHeight="1" x14ac:dyDescent="0.25">
      <c r="A256" s="96" t="s">
        <v>297</v>
      </c>
      <c r="B256" s="68"/>
      <c r="C256" s="97"/>
      <c r="D256" s="68"/>
    </row>
    <row r="257" spans="1:4" ht="16.5" customHeight="1" x14ac:dyDescent="0.25">
      <c r="A257" s="96" t="s">
        <v>298</v>
      </c>
      <c r="B257" s="68"/>
      <c r="C257" s="97"/>
      <c r="D257" s="68"/>
    </row>
    <row r="258" spans="1:4" ht="16.5" customHeight="1" x14ac:dyDescent="0.25">
      <c r="A258" s="98" t="s">
        <v>35</v>
      </c>
      <c r="B258" s="68"/>
      <c r="C258" s="97"/>
      <c r="D258" s="68"/>
    </row>
    <row r="259" spans="1:4" ht="16.5" customHeight="1" x14ac:dyDescent="0.25">
      <c r="A259" s="96" t="s">
        <v>299</v>
      </c>
      <c r="B259" s="68"/>
      <c r="C259" s="97"/>
      <c r="D259" s="68"/>
    </row>
    <row r="260" spans="1:4" ht="16.5" customHeight="1" x14ac:dyDescent="0.25">
      <c r="A260" s="96" t="s">
        <v>300</v>
      </c>
      <c r="B260" s="68"/>
      <c r="C260" s="97"/>
      <c r="D260" s="68"/>
    </row>
    <row r="261" spans="1:4" ht="16.5" customHeight="1" x14ac:dyDescent="0.25">
      <c r="A261" s="96" t="s">
        <v>301</v>
      </c>
      <c r="B261" s="68"/>
      <c r="C261" s="97"/>
      <c r="D261" s="68"/>
    </row>
    <row r="262" spans="1:4" ht="16.5" customHeight="1" x14ac:dyDescent="0.25">
      <c r="A262" s="96" t="s">
        <v>302</v>
      </c>
      <c r="B262" s="68"/>
      <c r="C262" s="97"/>
      <c r="D262" s="68"/>
    </row>
    <row r="263" spans="1:4" ht="16.5" customHeight="1" x14ac:dyDescent="0.25">
      <c r="A263" s="98" t="s">
        <v>303</v>
      </c>
      <c r="B263" s="68"/>
      <c r="C263" s="97"/>
      <c r="D263" s="68"/>
    </row>
    <row r="264" spans="1:4" ht="16.5" customHeight="1" x14ac:dyDescent="0.25">
      <c r="A264" s="96" t="s">
        <v>304</v>
      </c>
      <c r="B264" s="68"/>
      <c r="C264" s="97"/>
      <c r="D264" s="68"/>
    </row>
    <row r="265" spans="1:4" ht="16.5" customHeight="1" x14ac:dyDescent="0.25">
      <c r="A265" s="96" t="s">
        <v>305</v>
      </c>
      <c r="B265" s="68"/>
      <c r="C265" s="97"/>
      <c r="D265" s="68"/>
    </row>
    <row r="266" spans="1:4" ht="16.5" customHeight="1" x14ac:dyDescent="0.25">
      <c r="A266" s="96" t="s">
        <v>306</v>
      </c>
      <c r="B266" s="68"/>
      <c r="C266" s="97"/>
      <c r="D266" s="68"/>
    </row>
    <row r="267" spans="1:4" ht="16.5" customHeight="1" x14ac:dyDescent="0.25">
      <c r="A267" s="96" t="s">
        <v>307</v>
      </c>
      <c r="B267" s="68"/>
      <c r="C267" s="97"/>
      <c r="D267" s="68"/>
    </row>
    <row r="268" spans="1:4" ht="16.5" customHeight="1" x14ac:dyDescent="0.25">
      <c r="A268" s="96" t="s">
        <v>308</v>
      </c>
      <c r="B268" s="68"/>
      <c r="C268" s="97"/>
      <c r="D268" s="68"/>
    </row>
    <row r="269" spans="1:4" ht="16.5" customHeight="1" x14ac:dyDescent="0.25">
      <c r="A269" s="96" t="s">
        <v>309</v>
      </c>
      <c r="B269" s="68"/>
      <c r="C269" s="97"/>
      <c r="D269" s="68"/>
    </row>
    <row r="270" spans="1:4" ht="16.5" customHeight="1" x14ac:dyDescent="0.25">
      <c r="A270" s="96" t="s">
        <v>310</v>
      </c>
      <c r="B270" s="68"/>
      <c r="C270" s="97"/>
      <c r="D270" s="68"/>
    </row>
    <row r="271" spans="1:4" ht="16.5" customHeight="1" x14ac:dyDescent="0.25">
      <c r="A271" s="96" t="s">
        <v>311</v>
      </c>
      <c r="B271" s="68"/>
      <c r="C271" s="97"/>
      <c r="D271" s="68"/>
    </row>
    <row r="272" spans="1:4" ht="16.5" customHeight="1" x14ac:dyDescent="0.25">
      <c r="A272" s="99" t="s">
        <v>312</v>
      </c>
      <c r="B272" s="68"/>
      <c r="C272" s="97"/>
      <c r="D272" s="68"/>
    </row>
    <row r="273" spans="1:4" ht="16.5" customHeight="1" x14ac:dyDescent="0.25">
      <c r="A273" s="96" t="s">
        <v>313</v>
      </c>
      <c r="B273" s="68"/>
      <c r="C273" s="97"/>
      <c r="D273" s="68"/>
    </row>
    <row r="274" spans="1:4" ht="16.5" customHeight="1" x14ac:dyDescent="0.25">
      <c r="A274" s="96" t="s">
        <v>1038</v>
      </c>
      <c r="B274" s="68"/>
      <c r="C274" s="97"/>
      <c r="D274" s="68"/>
    </row>
    <row r="275" spans="1:4" ht="16.5" customHeight="1" x14ac:dyDescent="0.25">
      <c r="A275" s="98" t="s">
        <v>314</v>
      </c>
      <c r="B275" s="68"/>
      <c r="C275" s="97"/>
      <c r="D275" s="68"/>
    </row>
    <row r="276" spans="1:4" ht="16.5" customHeight="1" x14ac:dyDescent="0.25">
      <c r="A276" s="96" t="s">
        <v>315</v>
      </c>
      <c r="B276" s="68"/>
      <c r="C276" s="97"/>
      <c r="D276" s="68"/>
    </row>
    <row r="277" spans="1:4" ht="16.5" customHeight="1" x14ac:dyDescent="0.25">
      <c r="A277" s="96" t="s">
        <v>316</v>
      </c>
      <c r="B277" s="68"/>
      <c r="C277" s="97"/>
      <c r="D277" s="68"/>
    </row>
    <row r="278" spans="1:4" ht="16.5" customHeight="1" x14ac:dyDescent="0.25">
      <c r="A278" s="98" t="s">
        <v>36</v>
      </c>
      <c r="B278" s="68"/>
      <c r="C278" s="97"/>
      <c r="D278" s="68"/>
    </row>
    <row r="279" spans="1:4" ht="16.5" customHeight="1" x14ac:dyDescent="0.25">
      <c r="A279" s="96" t="s">
        <v>317</v>
      </c>
      <c r="B279" s="68"/>
      <c r="C279" s="97"/>
      <c r="D279" s="68"/>
    </row>
    <row r="280" spans="1:4" ht="16.5" customHeight="1" x14ac:dyDescent="0.25">
      <c r="A280" s="96" t="s">
        <v>318</v>
      </c>
      <c r="B280" s="68"/>
      <c r="C280" s="97"/>
      <c r="D280" s="68"/>
    </row>
    <row r="281" spans="1:4" ht="16.5" customHeight="1" x14ac:dyDescent="0.25">
      <c r="A281" s="96" t="s">
        <v>319</v>
      </c>
      <c r="B281" s="68"/>
      <c r="C281" s="97"/>
      <c r="D281" s="68"/>
    </row>
    <row r="282" spans="1:4" ht="16.5" customHeight="1" x14ac:dyDescent="0.25">
      <c r="A282" s="96" t="s">
        <v>320</v>
      </c>
      <c r="B282" s="68"/>
      <c r="C282" s="97"/>
      <c r="D282" s="68"/>
    </row>
    <row r="283" spans="1:4" ht="16.5" customHeight="1" x14ac:dyDescent="0.25">
      <c r="A283" s="99" t="s">
        <v>321</v>
      </c>
      <c r="B283" s="68"/>
      <c r="C283" s="97"/>
      <c r="D283" s="68"/>
    </row>
    <row r="284" spans="1:4" ht="16.5" customHeight="1" x14ac:dyDescent="0.25">
      <c r="A284" s="96" t="s">
        <v>322</v>
      </c>
      <c r="B284" s="68"/>
      <c r="C284" s="97"/>
      <c r="D284" s="68"/>
    </row>
    <row r="285" spans="1:4" ht="16.5" customHeight="1" x14ac:dyDescent="0.25">
      <c r="A285" s="96" t="s">
        <v>323</v>
      </c>
      <c r="B285" s="68"/>
      <c r="C285" s="97"/>
      <c r="D285" s="68"/>
    </row>
    <row r="286" spans="1:4" ht="16.5" customHeight="1" x14ac:dyDescent="0.25">
      <c r="A286" s="96" t="s">
        <v>324</v>
      </c>
      <c r="B286" s="68"/>
      <c r="C286" s="97"/>
      <c r="D286" s="68"/>
    </row>
    <row r="287" spans="1:4" ht="16.5" customHeight="1" x14ac:dyDescent="0.25">
      <c r="A287" s="98" t="s">
        <v>325</v>
      </c>
      <c r="B287" s="68"/>
      <c r="C287" s="97"/>
      <c r="D287" s="68"/>
    </row>
    <row r="288" spans="1:4" ht="16.5" customHeight="1" x14ac:dyDescent="0.25">
      <c r="A288" s="96" t="s">
        <v>326</v>
      </c>
      <c r="B288" s="68"/>
      <c r="C288" s="97"/>
      <c r="D288" s="68"/>
    </row>
    <row r="289" spans="1:4" ht="16.5" customHeight="1" x14ac:dyDescent="0.25">
      <c r="A289" s="96" t="s">
        <v>327</v>
      </c>
      <c r="B289" s="68"/>
      <c r="C289" s="97"/>
      <c r="D289" s="68"/>
    </row>
    <row r="290" spans="1:4" ht="16.5" customHeight="1" x14ac:dyDescent="0.25">
      <c r="A290" s="98" t="s">
        <v>328</v>
      </c>
      <c r="B290" s="68"/>
      <c r="C290" s="97"/>
      <c r="D290" s="68"/>
    </row>
    <row r="291" spans="1:4" ht="16.5" customHeight="1" x14ac:dyDescent="0.25">
      <c r="A291" s="96" t="s">
        <v>329</v>
      </c>
      <c r="B291" s="68"/>
      <c r="C291" s="97"/>
      <c r="D291" s="68"/>
    </row>
    <row r="292" spans="1:4" ht="16.5" customHeight="1" x14ac:dyDescent="0.25">
      <c r="A292" s="96" t="s">
        <v>330</v>
      </c>
      <c r="B292" s="68"/>
      <c r="C292" s="97"/>
      <c r="D292" s="68"/>
    </row>
    <row r="293" spans="1:4" ht="16.5" customHeight="1" x14ac:dyDescent="0.25">
      <c r="A293" s="96" t="s">
        <v>331</v>
      </c>
      <c r="B293" s="68"/>
      <c r="C293" s="97"/>
      <c r="D293" s="68"/>
    </row>
    <row r="294" spans="1:4" ht="16.5" customHeight="1" x14ac:dyDescent="0.25">
      <c r="A294" s="96" t="s">
        <v>332</v>
      </c>
      <c r="B294" s="68"/>
      <c r="C294" s="97"/>
      <c r="D294" s="68"/>
    </row>
    <row r="295" spans="1:4" ht="16.5" customHeight="1" x14ac:dyDescent="0.25">
      <c r="A295" s="96" t="s">
        <v>333</v>
      </c>
      <c r="B295" s="68"/>
      <c r="C295" s="97"/>
      <c r="D295" s="68"/>
    </row>
    <row r="296" spans="1:4" ht="16.5" customHeight="1" x14ac:dyDescent="0.25">
      <c r="A296" s="96" t="s">
        <v>334</v>
      </c>
      <c r="B296" s="68"/>
      <c r="C296" s="97"/>
      <c r="D296" s="68"/>
    </row>
    <row r="297" spans="1:4" ht="16.5" customHeight="1" x14ac:dyDescent="0.25">
      <c r="A297" s="96" t="s">
        <v>335</v>
      </c>
      <c r="B297" s="68"/>
      <c r="C297" s="97"/>
      <c r="D297" s="68"/>
    </row>
    <row r="298" spans="1:4" ht="16.5" customHeight="1" x14ac:dyDescent="0.25">
      <c r="A298" s="96" t="s">
        <v>336</v>
      </c>
      <c r="B298" s="68"/>
      <c r="C298" s="97"/>
      <c r="D298" s="68"/>
    </row>
    <row r="299" spans="1:4" ht="16.5" customHeight="1" x14ac:dyDescent="0.25">
      <c r="A299" s="96" t="s">
        <v>337</v>
      </c>
      <c r="B299" s="68"/>
      <c r="C299" s="97"/>
      <c r="D299" s="68"/>
    </row>
    <row r="300" spans="1:4" ht="16.5" customHeight="1" x14ac:dyDescent="0.25">
      <c r="A300" s="96" t="s">
        <v>338</v>
      </c>
      <c r="B300" s="68"/>
      <c r="C300" s="97"/>
      <c r="D300" s="68"/>
    </row>
    <row r="301" spans="1:4" ht="16.5" customHeight="1" x14ac:dyDescent="0.25">
      <c r="A301" s="96" t="s">
        <v>339</v>
      </c>
      <c r="B301" s="68"/>
      <c r="C301" s="97"/>
      <c r="D301" s="68"/>
    </row>
    <row r="302" spans="1:4" ht="16.5" customHeight="1" x14ac:dyDescent="0.25">
      <c r="A302" s="96" t="s">
        <v>340</v>
      </c>
      <c r="B302" s="68"/>
      <c r="C302" s="97"/>
      <c r="D302" s="68"/>
    </row>
    <row r="303" spans="1:4" ht="16.5" customHeight="1" x14ac:dyDescent="0.25">
      <c r="A303" s="96" t="s">
        <v>341</v>
      </c>
      <c r="B303" s="68"/>
      <c r="C303" s="97"/>
      <c r="D303" s="68"/>
    </row>
    <row r="304" spans="1:4" ht="16.5" customHeight="1" x14ac:dyDescent="0.25">
      <c r="A304" s="96" t="s">
        <v>342</v>
      </c>
      <c r="B304" s="68"/>
      <c r="C304" s="97"/>
      <c r="D304" s="68"/>
    </row>
    <row r="305" spans="1:4" ht="16.5" customHeight="1" x14ac:dyDescent="0.25">
      <c r="A305" s="101" t="s">
        <v>343</v>
      </c>
      <c r="B305" s="68"/>
      <c r="C305" s="97"/>
      <c r="D305" s="68"/>
    </row>
    <row r="306" spans="1:4" ht="16.5" customHeight="1" x14ac:dyDescent="0.25">
      <c r="A306" s="99" t="s">
        <v>344</v>
      </c>
      <c r="B306" s="68"/>
      <c r="C306" s="97"/>
      <c r="D306" s="68"/>
    </row>
    <row r="307" spans="1:4" ht="16.5" customHeight="1" x14ac:dyDescent="0.25">
      <c r="A307" s="96" t="s">
        <v>345</v>
      </c>
      <c r="B307" s="68"/>
      <c r="C307" s="97"/>
      <c r="D307" s="68"/>
    </row>
    <row r="308" spans="1:4" ht="16.5" customHeight="1" x14ac:dyDescent="0.25">
      <c r="A308" s="96" t="s">
        <v>346</v>
      </c>
      <c r="B308" s="68"/>
      <c r="C308" s="97"/>
      <c r="D308" s="68"/>
    </row>
    <row r="309" spans="1:4" ht="16.5" customHeight="1" x14ac:dyDescent="0.25">
      <c r="A309" s="96" t="s">
        <v>347</v>
      </c>
      <c r="B309" s="68"/>
      <c r="C309" s="97"/>
      <c r="D309" s="68"/>
    </row>
    <row r="310" spans="1:4" ht="16.5" customHeight="1" x14ac:dyDescent="0.25">
      <c r="A310" s="96" t="s">
        <v>348</v>
      </c>
      <c r="B310" s="68"/>
      <c r="C310" s="97"/>
      <c r="D310" s="68"/>
    </row>
    <row r="311" spans="1:4" ht="16.5" customHeight="1" x14ac:dyDescent="0.25">
      <c r="A311" s="96" t="s">
        <v>349</v>
      </c>
      <c r="B311" s="68"/>
      <c r="C311" s="97"/>
      <c r="D311" s="68"/>
    </row>
    <row r="312" spans="1:4" ht="16.5" customHeight="1" x14ac:dyDescent="0.25">
      <c r="A312" s="96" t="s">
        <v>350</v>
      </c>
      <c r="B312" s="68"/>
      <c r="C312" s="97"/>
      <c r="D312" s="68"/>
    </row>
    <row r="313" spans="1:4" ht="16.5" customHeight="1" x14ac:dyDescent="0.25">
      <c r="A313" s="96" t="s">
        <v>351</v>
      </c>
      <c r="B313" s="68"/>
      <c r="C313" s="97"/>
      <c r="D313" s="68"/>
    </row>
    <row r="314" spans="1:4" ht="16.5" customHeight="1" x14ac:dyDescent="0.25">
      <c r="A314" s="96" t="s">
        <v>352</v>
      </c>
      <c r="B314" s="68"/>
      <c r="C314" s="97"/>
      <c r="D314" s="68"/>
    </row>
    <row r="315" spans="1:4" ht="16.5" customHeight="1" x14ac:dyDescent="0.25">
      <c r="A315" s="96" t="s">
        <v>353</v>
      </c>
      <c r="B315" s="68"/>
      <c r="C315" s="97"/>
      <c r="D315" s="68"/>
    </row>
    <row r="316" spans="1:4" ht="16.5" customHeight="1" x14ac:dyDescent="0.25">
      <c r="A316" s="96" t="s">
        <v>354</v>
      </c>
      <c r="B316" s="68"/>
      <c r="C316" s="97"/>
      <c r="D316" s="68"/>
    </row>
    <row r="317" spans="1:4" ht="16.5" customHeight="1" x14ac:dyDescent="0.25">
      <c r="A317" s="96" t="s">
        <v>355</v>
      </c>
      <c r="B317" s="68"/>
      <c r="C317" s="97"/>
      <c r="D317" s="68"/>
    </row>
    <row r="318" spans="1:4" ht="16.5" customHeight="1" x14ac:dyDescent="0.25">
      <c r="A318" s="99" t="s">
        <v>356</v>
      </c>
      <c r="B318" s="68"/>
      <c r="C318" s="97"/>
      <c r="D318" s="68"/>
    </row>
    <row r="319" spans="1:4" ht="16.5" customHeight="1" x14ac:dyDescent="0.25">
      <c r="A319" s="96" t="s">
        <v>357</v>
      </c>
      <c r="B319" s="68"/>
      <c r="C319" s="97"/>
      <c r="D319" s="68"/>
    </row>
    <row r="320" spans="1:4" ht="16.5" customHeight="1" x14ac:dyDescent="0.25">
      <c r="A320" s="96" t="s">
        <v>358</v>
      </c>
      <c r="B320" s="68"/>
      <c r="C320" s="97"/>
      <c r="D320" s="68"/>
    </row>
    <row r="321" spans="1:4" ht="16.5" customHeight="1" x14ac:dyDescent="0.25">
      <c r="A321" s="98" t="s">
        <v>359</v>
      </c>
      <c r="B321" s="68"/>
      <c r="C321" s="97"/>
      <c r="D321" s="68"/>
    </row>
    <row r="322" spans="1:4" ht="16.5" customHeight="1" x14ac:dyDescent="0.25">
      <c r="A322" s="98" t="s">
        <v>360</v>
      </c>
      <c r="B322" s="68"/>
      <c r="C322" s="97"/>
      <c r="D322" s="68"/>
    </row>
    <row r="323" spans="1:4" ht="16.5" customHeight="1" x14ac:dyDescent="0.25">
      <c r="A323" s="96" t="s">
        <v>361</v>
      </c>
      <c r="B323" s="68"/>
      <c r="C323" s="97"/>
      <c r="D323" s="68"/>
    </row>
    <row r="324" spans="1:4" ht="16.5" customHeight="1" x14ac:dyDescent="0.25">
      <c r="A324" s="98" t="s">
        <v>362</v>
      </c>
      <c r="B324" s="68"/>
      <c r="C324" s="97"/>
      <c r="D324" s="68"/>
    </row>
    <row r="325" spans="1:4" ht="16.5" customHeight="1" x14ac:dyDescent="0.25">
      <c r="A325" s="96" t="s">
        <v>363</v>
      </c>
      <c r="B325" s="68"/>
      <c r="C325" s="97"/>
      <c r="D325" s="68"/>
    </row>
    <row r="326" spans="1:4" ht="16.5" customHeight="1" x14ac:dyDescent="0.25">
      <c r="A326" s="96" t="s">
        <v>364</v>
      </c>
      <c r="B326" s="68"/>
      <c r="C326" s="97"/>
      <c r="D326" s="68"/>
    </row>
    <row r="327" spans="1:4" ht="16.5" customHeight="1" x14ac:dyDescent="0.25">
      <c r="A327" s="96" t="s">
        <v>365</v>
      </c>
      <c r="B327" s="68"/>
      <c r="C327" s="97"/>
      <c r="D327" s="68"/>
    </row>
    <row r="328" spans="1:4" ht="16.5" customHeight="1" x14ac:dyDescent="0.25">
      <c r="A328" s="96" t="s">
        <v>366</v>
      </c>
      <c r="B328" s="68"/>
      <c r="C328" s="97"/>
      <c r="D328" s="68"/>
    </row>
    <row r="329" spans="1:4" ht="16.5" customHeight="1" x14ac:dyDescent="0.25">
      <c r="A329" s="101" t="s">
        <v>367</v>
      </c>
      <c r="B329" s="68"/>
      <c r="C329" s="97"/>
      <c r="D329" s="68"/>
    </row>
    <row r="330" spans="1:4" ht="16.5" customHeight="1" x14ac:dyDescent="0.25">
      <c r="A330" s="101" t="s">
        <v>368</v>
      </c>
      <c r="B330" s="68"/>
      <c r="C330" s="97"/>
      <c r="D330" s="68"/>
    </row>
    <row r="331" spans="1:4" ht="16.5" customHeight="1" x14ac:dyDescent="0.25">
      <c r="A331" s="96" t="s">
        <v>369</v>
      </c>
      <c r="B331" s="68"/>
      <c r="C331" s="97"/>
      <c r="D331" s="68"/>
    </row>
    <row r="332" spans="1:4" ht="16.5" customHeight="1" x14ac:dyDescent="0.25">
      <c r="A332" s="101" t="s">
        <v>370</v>
      </c>
      <c r="B332" s="68"/>
      <c r="C332" s="97"/>
      <c r="D332" s="68"/>
    </row>
    <row r="333" spans="1:4" ht="16.5" customHeight="1" x14ac:dyDescent="0.25">
      <c r="A333" s="96" t="s">
        <v>371</v>
      </c>
      <c r="B333" s="68"/>
      <c r="C333" s="97"/>
      <c r="D333" s="68"/>
    </row>
    <row r="334" spans="1:4" ht="16.5" customHeight="1" x14ac:dyDescent="0.25">
      <c r="A334" s="96" t="s">
        <v>372</v>
      </c>
      <c r="B334" s="68"/>
      <c r="C334" s="97"/>
      <c r="D334" s="68"/>
    </row>
    <row r="335" spans="1:4" ht="16.5" customHeight="1" x14ac:dyDescent="0.25">
      <c r="A335" s="101" t="s">
        <v>373</v>
      </c>
      <c r="B335" s="68"/>
      <c r="C335" s="97"/>
      <c r="D335" s="68"/>
    </row>
    <row r="336" spans="1:4" ht="16.5" customHeight="1" x14ac:dyDescent="0.25">
      <c r="A336" s="96" t="s">
        <v>374</v>
      </c>
      <c r="B336" s="68"/>
      <c r="C336" s="97"/>
      <c r="D336" s="68"/>
    </row>
    <row r="337" spans="1:4" ht="16.5" customHeight="1" x14ac:dyDescent="0.25">
      <c r="A337" s="98" t="s">
        <v>375</v>
      </c>
      <c r="B337" s="68"/>
      <c r="C337" s="97"/>
      <c r="D337" s="68"/>
    </row>
    <row r="338" spans="1:4" ht="16.5" customHeight="1" x14ac:dyDescent="0.25">
      <c r="A338" s="101" t="s">
        <v>376</v>
      </c>
      <c r="B338" s="68"/>
      <c r="C338" s="97"/>
      <c r="D338" s="68"/>
    </row>
    <row r="339" spans="1:4" ht="16.5" customHeight="1" x14ac:dyDescent="0.25">
      <c r="A339" s="96" t="s">
        <v>377</v>
      </c>
      <c r="B339" s="68"/>
      <c r="C339" s="97"/>
      <c r="D339" s="68"/>
    </row>
    <row r="340" spans="1:4" ht="16.5" customHeight="1" x14ac:dyDescent="0.25">
      <c r="A340" s="101" t="s">
        <v>378</v>
      </c>
      <c r="B340" s="68"/>
      <c r="C340" s="97"/>
      <c r="D340" s="68"/>
    </row>
    <row r="341" spans="1:4" ht="16.5" customHeight="1" x14ac:dyDescent="0.25">
      <c r="A341" s="96" t="s">
        <v>379</v>
      </c>
      <c r="B341" s="68"/>
      <c r="C341" s="97"/>
      <c r="D341" s="68"/>
    </row>
    <row r="342" spans="1:4" ht="16.5" customHeight="1" x14ac:dyDescent="0.25">
      <c r="A342" s="96" t="s">
        <v>380</v>
      </c>
      <c r="B342" s="68"/>
      <c r="C342" s="97"/>
      <c r="D342" s="68"/>
    </row>
    <row r="343" spans="1:4" ht="16.5" customHeight="1" x14ac:dyDescent="0.25">
      <c r="A343" s="96" t="s">
        <v>381</v>
      </c>
      <c r="B343" s="68"/>
      <c r="C343" s="97"/>
      <c r="D343" s="68"/>
    </row>
    <row r="344" spans="1:4" ht="16.5" customHeight="1" x14ac:dyDescent="0.25">
      <c r="A344" s="99" t="s">
        <v>382</v>
      </c>
      <c r="B344" s="68"/>
      <c r="C344" s="97"/>
      <c r="D344" s="68"/>
    </row>
    <row r="345" spans="1:4" ht="16.5" customHeight="1" x14ac:dyDescent="0.25">
      <c r="A345" s="96" t="s">
        <v>383</v>
      </c>
      <c r="B345" s="68"/>
      <c r="C345" s="97"/>
      <c r="D345" s="68"/>
    </row>
    <row r="346" spans="1:4" ht="16.5" customHeight="1" x14ac:dyDescent="0.25">
      <c r="A346" s="99" t="s">
        <v>384</v>
      </c>
      <c r="B346" s="68"/>
      <c r="C346" s="97"/>
      <c r="D346" s="68"/>
    </row>
    <row r="347" spans="1:4" ht="16.5" customHeight="1" x14ac:dyDescent="0.25">
      <c r="A347" s="96" t="s">
        <v>385</v>
      </c>
      <c r="B347" s="68"/>
      <c r="C347" s="97"/>
      <c r="D347" s="68"/>
    </row>
    <row r="348" spans="1:4" ht="16.5" customHeight="1" x14ac:dyDescent="0.25">
      <c r="A348" s="96" t="s">
        <v>386</v>
      </c>
      <c r="B348" s="68"/>
      <c r="C348" s="97"/>
      <c r="D348" s="68"/>
    </row>
    <row r="349" spans="1:4" ht="16.5" customHeight="1" x14ac:dyDescent="0.25">
      <c r="A349" s="96" t="s">
        <v>387</v>
      </c>
      <c r="B349" s="68"/>
      <c r="C349" s="97"/>
      <c r="D349" s="68"/>
    </row>
    <row r="350" spans="1:4" ht="16.5" customHeight="1" x14ac:dyDescent="0.25">
      <c r="A350" s="96" t="s">
        <v>388</v>
      </c>
      <c r="B350" s="68"/>
      <c r="C350" s="97"/>
      <c r="D350" s="68"/>
    </row>
    <row r="351" spans="1:4" ht="16.5" customHeight="1" x14ac:dyDescent="0.25">
      <c r="A351" s="99" t="s">
        <v>389</v>
      </c>
      <c r="B351" s="68"/>
      <c r="C351" s="97"/>
      <c r="D351" s="68"/>
    </row>
    <row r="352" spans="1:4" ht="16.5" customHeight="1" x14ac:dyDescent="0.25">
      <c r="A352" s="96" t="s">
        <v>390</v>
      </c>
      <c r="B352" s="68"/>
      <c r="C352" s="97"/>
      <c r="D352" s="68"/>
    </row>
    <row r="353" spans="1:4" ht="16.5" customHeight="1" x14ac:dyDescent="0.25">
      <c r="A353" s="98" t="s">
        <v>391</v>
      </c>
      <c r="B353" s="68"/>
      <c r="C353" s="97"/>
      <c r="D353" s="68"/>
    </row>
    <row r="354" spans="1:4" ht="16.5" customHeight="1" x14ac:dyDescent="0.25">
      <c r="A354" s="98" t="s">
        <v>392</v>
      </c>
      <c r="B354" s="68"/>
      <c r="C354" s="97"/>
      <c r="D354" s="68"/>
    </row>
    <row r="355" spans="1:4" ht="16.5" customHeight="1" x14ac:dyDescent="0.25">
      <c r="A355" s="99" t="s">
        <v>393</v>
      </c>
      <c r="B355" s="68"/>
      <c r="C355" s="97"/>
      <c r="D355" s="68"/>
    </row>
    <row r="356" spans="1:4" ht="16.5" customHeight="1" x14ac:dyDescent="0.25">
      <c r="A356" s="96" t="s">
        <v>394</v>
      </c>
      <c r="B356" s="68"/>
      <c r="C356" s="97"/>
      <c r="D356" s="68"/>
    </row>
    <row r="357" spans="1:4" ht="16.5" customHeight="1" x14ac:dyDescent="0.25">
      <c r="A357" s="98" t="s">
        <v>395</v>
      </c>
      <c r="B357" s="68"/>
      <c r="C357" s="97"/>
      <c r="D357" s="68"/>
    </row>
    <row r="358" spans="1:4" ht="16.5" customHeight="1" x14ac:dyDescent="0.25">
      <c r="A358" s="96" t="s">
        <v>396</v>
      </c>
      <c r="B358" s="68"/>
      <c r="C358" s="97"/>
      <c r="D358" s="68"/>
    </row>
    <row r="359" spans="1:4" ht="16.5" customHeight="1" x14ac:dyDescent="0.25">
      <c r="A359" s="96" t="s">
        <v>397</v>
      </c>
      <c r="B359" s="68"/>
      <c r="C359" s="97"/>
      <c r="D359" s="68"/>
    </row>
    <row r="360" spans="1:4" ht="16.5" customHeight="1" x14ac:dyDescent="0.25">
      <c r="A360" s="96" t="s">
        <v>398</v>
      </c>
      <c r="B360" s="68"/>
      <c r="C360" s="97"/>
      <c r="D360" s="68"/>
    </row>
    <row r="361" spans="1:4" ht="16.5" customHeight="1" x14ac:dyDescent="0.25">
      <c r="A361" s="96" t="s">
        <v>399</v>
      </c>
      <c r="B361" s="68"/>
      <c r="C361" s="97"/>
      <c r="D361" s="68"/>
    </row>
    <row r="362" spans="1:4" ht="16.5" customHeight="1" x14ac:dyDescent="0.25">
      <c r="A362" s="96" t="s">
        <v>400</v>
      </c>
      <c r="B362" s="68"/>
      <c r="C362" s="97"/>
      <c r="D362" s="68"/>
    </row>
    <row r="363" spans="1:4" ht="16.5" customHeight="1" x14ac:dyDescent="0.25">
      <c r="A363" s="96" t="s">
        <v>401</v>
      </c>
      <c r="B363" s="68"/>
      <c r="C363" s="97"/>
      <c r="D363" s="68"/>
    </row>
    <row r="364" spans="1:4" ht="16.5" customHeight="1" x14ac:dyDescent="0.25">
      <c r="A364" s="98" t="s">
        <v>402</v>
      </c>
      <c r="B364" s="68"/>
      <c r="C364" s="97"/>
      <c r="D364" s="68"/>
    </row>
    <row r="365" spans="1:4" ht="16.5" customHeight="1" x14ac:dyDescent="0.25">
      <c r="A365" s="96" t="s">
        <v>403</v>
      </c>
      <c r="B365" s="68"/>
      <c r="C365" s="97"/>
      <c r="D365" s="68"/>
    </row>
    <row r="366" spans="1:4" ht="16.5" customHeight="1" x14ac:dyDescent="0.25">
      <c r="A366" s="96" t="s">
        <v>404</v>
      </c>
      <c r="B366" s="68"/>
      <c r="C366" s="97"/>
      <c r="D366" s="68"/>
    </row>
    <row r="367" spans="1:4" ht="16.5" customHeight="1" x14ac:dyDescent="0.25">
      <c r="A367" s="96" t="s">
        <v>405</v>
      </c>
      <c r="B367" s="68"/>
      <c r="C367" s="97"/>
      <c r="D367" s="68"/>
    </row>
    <row r="368" spans="1:4" ht="16.5" customHeight="1" x14ac:dyDescent="0.25">
      <c r="A368" s="98" t="s">
        <v>406</v>
      </c>
      <c r="B368" s="68"/>
      <c r="C368" s="97"/>
      <c r="D368" s="68"/>
    </row>
    <row r="369" spans="1:4" ht="16.5" customHeight="1" x14ac:dyDescent="0.25">
      <c r="A369" s="96" t="s">
        <v>407</v>
      </c>
      <c r="B369" s="68"/>
      <c r="C369" s="97"/>
      <c r="D369" s="68"/>
    </row>
    <row r="370" spans="1:4" ht="16.5" customHeight="1" x14ac:dyDescent="0.25">
      <c r="A370" s="96" t="s">
        <v>408</v>
      </c>
      <c r="B370" s="68"/>
      <c r="C370" s="97"/>
      <c r="D370" s="68"/>
    </row>
    <row r="371" spans="1:4" ht="16.5" customHeight="1" x14ac:dyDescent="0.25">
      <c r="A371" s="96" t="s">
        <v>409</v>
      </c>
      <c r="B371" s="68"/>
      <c r="C371" s="97"/>
      <c r="D371" s="68"/>
    </row>
    <row r="372" spans="1:4" ht="16.5" customHeight="1" x14ac:dyDescent="0.25">
      <c r="A372" s="96" t="s">
        <v>410</v>
      </c>
      <c r="B372" s="68"/>
      <c r="C372" s="97"/>
      <c r="D372" s="68"/>
    </row>
    <row r="373" spans="1:4" ht="16.5" customHeight="1" x14ac:dyDescent="0.25">
      <c r="A373" s="101" t="s">
        <v>411</v>
      </c>
      <c r="B373" s="68"/>
      <c r="C373" s="97"/>
      <c r="D373" s="68"/>
    </row>
    <row r="374" spans="1:4" ht="16.5" customHeight="1" x14ac:dyDescent="0.25">
      <c r="A374" s="96" t="s">
        <v>412</v>
      </c>
      <c r="B374" s="68"/>
      <c r="C374" s="97"/>
      <c r="D374" s="68"/>
    </row>
    <row r="375" spans="1:4" ht="16.5" customHeight="1" x14ac:dyDescent="0.25">
      <c r="A375" s="96" t="s">
        <v>413</v>
      </c>
      <c r="B375" s="68"/>
      <c r="C375" s="97"/>
      <c r="D375" s="68"/>
    </row>
    <row r="376" spans="1:4" ht="16.5" customHeight="1" x14ac:dyDescent="0.25">
      <c r="A376" s="100" t="s">
        <v>414</v>
      </c>
      <c r="B376" s="68"/>
      <c r="C376" s="97"/>
      <c r="D376" s="68"/>
    </row>
    <row r="377" spans="1:4" ht="16.5" customHeight="1" x14ac:dyDescent="0.25">
      <c r="A377" s="96" t="s">
        <v>415</v>
      </c>
      <c r="B377" s="68"/>
      <c r="C377" s="97"/>
      <c r="D377" s="68"/>
    </row>
    <row r="378" spans="1:4" ht="16.5" customHeight="1" x14ac:dyDescent="0.25">
      <c r="A378" s="96" t="s">
        <v>416</v>
      </c>
      <c r="B378" s="68"/>
      <c r="C378" s="97"/>
      <c r="D378" s="68"/>
    </row>
    <row r="379" spans="1:4" ht="16.5" customHeight="1" x14ac:dyDescent="0.25">
      <c r="A379" s="96" t="s">
        <v>417</v>
      </c>
      <c r="B379" s="68"/>
      <c r="C379" s="97"/>
      <c r="D379" s="68"/>
    </row>
    <row r="380" spans="1:4" ht="16.5" customHeight="1" x14ac:dyDescent="0.25">
      <c r="A380" s="100" t="s">
        <v>418</v>
      </c>
      <c r="B380" s="68"/>
      <c r="C380" s="97"/>
      <c r="D380" s="68"/>
    </row>
    <row r="381" spans="1:4" ht="16.5" customHeight="1" x14ac:dyDescent="0.25">
      <c r="A381" s="96" t="s">
        <v>419</v>
      </c>
      <c r="B381" s="68"/>
      <c r="C381" s="97"/>
      <c r="D381" s="68"/>
    </row>
    <row r="382" spans="1:4" ht="16.5" customHeight="1" x14ac:dyDescent="0.25">
      <c r="A382" s="98" t="s">
        <v>420</v>
      </c>
      <c r="B382" s="68"/>
      <c r="C382" s="97"/>
      <c r="D382" s="68"/>
    </row>
    <row r="383" spans="1:4" ht="16.5" customHeight="1" x14ac:dyDescent="0.25">
      <c r="A383" s="96" t="s">
        <v>421</v>
      </c>
      <c r="B383" s="68"/>
      <c r="C383" s="97"/>
      <c r="D383" s="68"/>
    </row>
    <row r="384" spans="1:4" ht="16.5" customHeight="1" x14ac:dyDescent="0.25">
      <c r="A384" s="99" t="s">
        <v>422</v>
      </c>
      <c r="B384" s="68"/>
      <c r="C384" s="97"/>
      <c r="D384" s="68"/>
    </row>
    <row r="385" spans="1:4" ht="16.5" customHeight="1" x14ac:dyDescent="0.25">
      <c r="A385" s="99" t="s">
        <v>423</v>
      </c>
      <c r="B385" s="68"/>
      <c r="C385" s="97"/>
      <c r="D385" s="68"/>
    </row>
    <row r="386" spans="1:4" ht="16.5" customHeight="1" x14ac:dyDescent="0.25">
      <c r="A386" s="96" t="s">
        <v>424</v>
      </c>
      <c r="B386" s="68"/>
      <c r="C386" s="97"/>
      <c r="D386" s="68"/>
    </row>
    <row r="387" spans="1:4" ht="16.5" customHeight="1" x14ac:dyDescent="0.25">
      <c r="A387" s="96" t="s">
        <v>425</v>
      </c>
      <c r="B387" s="68"/>
      <c r="C387" s="97"/>
      <c r="D387" s="68"/>
    </row>
    <row r="388" spans="1:4" ht="16.5" customHeight="1" x14ac:dyDescent="0.25">
      <c r="A388" s="96" t="s">
        <v>426</v>
      </c>
      <c r="B388" s="68"/>
      <c r="C388" s="97"/>
      <c r="D388" s="68"/>
    </row>
    <row r="389" spans="1:4" ht="16.5" customHeight="1" x14ac:dyDescent="0.25">
      <c r="A389" s="96" t="s">
        <v>427</v>
      </c>
      <c r="B389" s="68"/>
      <c r="C389" s="97"/>
      <c r="D389" s="68"/>
    </row>
    <row r="390" spans="1:4" ht="16.5" customHeight="1" x14ac:dyDescent="0.25">
      <c r="A390" s="96" t="s">
        <v>428</v>
      </c>
      <c r="B390" s="68"/>
      <c r="C390" s="97"/>
      <c r="D390" s="68"/>
    </row>
    <row r="391" spans="1:4" ht="16.5" customHeight="1" x14ac:dyDescent="0.25">
      <c r="A391" s="96" t="s">
        <v>535</v>
      </c>
      <c r="B391" s="68"/>
      <c r="C391" s="97"/>
      <c r="D391" s="68"/>
    </row>
    <row r="392" spans="1:4" ht="16.5" customHeight="1" x14ac:dyDescent="0.25">
      <c r="A392" s="96" t="s">
        <v>429</v>
      </c>
      <c r="B392" s="68"/>
      <c r="C392" s="97"/>
      <c r="D392" s="68"/>
    </row>
    <row r="393" spans="1:4" ht="16.5" customHeight="1" x14ac:dyDescent="0.25">
      <c r="A393" s="96" t="s">
        <v>430</v>
      </c>
      <c r="B393" s="68"/>
      <c r="C393" s="97"/>
      <c r="D393" s="68"/>
    </row>
    <row r="394" spans="1:4" ht="16.5" customHeight="1" x14ac:dyDescent="0.25">
      <c r="A394" s="96" t="s">
        <v>431</v>
      </c>
      <c r="B394" s="68"/>
      <c r="C394" s="97"/>
      <c r="D394" s="68"/>
    </row>
    <row r="395" spans="1:4" ht="16.5" customHeight="1" x14ac:dyDescent="0.25">
      <c r="A395" s="96" t="s">
        <v>432</v>
      </c>
      <c r="B395" s="68"/>
      <c r="C395" s="97"/>
      <c r="D395" s="68"/>
    </row>
    <row r="396" spans="1:4" ht="16.5" customHeight="1" x14ac:dyDescent="0.25">
      <c r="A396" s="96" t="s">
        <v>433</v>
      </c>
      <c r="B396" s="68"/>
      <c r="C396" s="97"/>
      <c r="D396" s="68"/>
    </row>
    <row r="397" spans="1:4" ht="16.5" customHeight="1" x14ac:dyDescent="0.25">
      <c r="A397" s="96" t="s">
        <v>434</v>
      </c>
      <c r="B397" s="68"/>
      <c r="C397" s="97"/>
      <c r="D397" s="68"/>
    </row>
    <row r="398" spans="1:4" ht="16.5" customHeight="1" x14ac:dyDescent="0.25">
      <c r="A398" s="98" t="s">
        <v>435</v>
      </c>
      <c r="B398" s="68"/>
      <c r="C398" s="97"/>
      <c r="D398" s="68"/>
    </row>
    <row r="399" spans="1:4" ht="16.5" customHeight="1" x14ac:dyDescent="0.25">
      <c r="A399" s="98" t="s">
        <v>436</v>
      </c>
      <c r="B399" s="68"/>
      <c r="C399" s="97"/>
      <c r="D399" s="68"/>
    </row>
    <row r="400" spans="1:4" ht="16.5" customHeight="1" x14ac:dyDescent="0.25">
      <c r="A400" s="96" t="s">
        <v>437</v>
      </c>
      <c r="B400" s="68"/>
      <c r="C400" s="97"/>
      <c r="D400" s="68"/>
    </row>
    <row r="401" spans="1:4" ht="16.5" customHeight="1" x14ac:dyDescent="0.25">
      <c r="A401" s="96" t="s">
        <v>438</v>
      </c>
      <c r="B401" s="68"/>
      <c r="C401" s="97"/>
      <c r="D401" s="68"/>
    </row>
    <row r="402" spans="1:4" ht="16.5" customHeight="1" x14ac:dyDescent="0.25">
      <c r="A402" s="96" t="s">
        <v>439</v>
      </c>
      <c r="B402" s="68"/>
      <c r="C402" s="97"/>
      <c r="D402" s="68"/>
    </row>
    <row r="403" spans="1:4" ht="16.5" customHeight="1" x14ac:dyDescent="0.25">
      <c r="A403" s="96" t="s">
        <v>440</v>
      </c>
      <c r="B403" s="68"/>
      <c r="C403" s="97"/>
      <c r="D403" s="68"/>
    </row>
    <row r="404" spans="1:4" ht="16.5" customHeight="1" x14ac:dyDescent="0.25">
      <c r="A404" s="96" t="s">
        <v>441</v>
      </c>
      <c r="B404" s="68"/>
      <c r="C404" s="97"/>
      <c r="D404" s="68"/>
    </row>
    <row r="405" spans="1:4" ht="16.5" customHeight="1" x14ac:dyDescent="0.25">
      <c r="A405" s="96" t="s">
        <v>442</v>
      </c>
      <c r="B405" s="68"/>
      <c r="C405" s="97"/>
      <c r="D405" s="68"/>
    </row>
    <row r="406" spans="1:4" ht="16.5" customHeight="1" x14ac:dyDescent="0.25">
      <c r="A406" s="96" t="s">
        <v>443</v>
      </c>
      <c r="B406" s="68"/>
      <c r="C406" s="97"/>
      <c r="D406" s="68"/>
    </row>
    <row r="407" spans="1:4" ht="16.5" customHeight="1" x14ac:dyDescent="0.25">
      <c r="A407" s="98" t="s">
        <v>444</v>
      </c>
      <c r="B407" s="68"/>
      <c r="C407" s="97"/>
      <c r="D407" s="68"/>
    </row>
    <row r="408" spans="1:4" ht="16.5" customHeight="1" x14ac:dyDescent="0.25">
      <c r="A408" s="96" t="s">
        <v>445</v>
      </c>
      <c r="B408" s="68"/>
      <c r="C408" s="97"/>
      <c r="D408" s="68"/>
    </row>
    <row r="409" spans="1:4" ht="16.5" customHeight="1" x14ac:dyDescent="0.25">
      <c r="A409" s="96" t="s">
        <v>446</v>
      </c>
      <c r="B409" s="68"/>
      <c r="C409" s="97"/>
      <c r="D409" s="68"/>
    </row>
    <row r="410" spans="1:4" ht="16.5" customHeight="1" x14ac:dyDescent="0.25">
      <c r="A410" s="96" t="s">
        <v>447</v>
      </c>
      <c r="B410" s="68"/>
      <c r="C410" s="97"/>
      <c r="D410" s="68"/>
    </row>
    <row r="411" spans="1:4" ht="16.5" customHeight="1" x14ac:dyDescent="0.25">
      <c r="A411" s="96" t="s">
        <v>448</v>
      </c>
      <c r="B411" s="68"/>
      <c r="C411" s="97"/>
      <c r="D411" s="68"/>
    </row>
    <row r="412" spans="1:4" ht="16.5" customHeight="1" x14ac:dyDescent="0.25">
      <c r="A412" s="96" t="s">
        <v>449</v>
      </c>
      <c r="B412" s="68"/>
      <c r="C412" s="97"/>
      <c r="D412" s="68"/>
    </row>
    <row r="413" spans="1:4" ht="16.5" customHeight="1" x14ac:dyDescent="0.25">
      <c r="A413" s="96" t="s">
        <v>450</v>
      </c>
      <c r="B413" s="68"/>
      <c r="C413" s="97"/>
      <c r="D413" s="68"/>
    </row>
    <row r="414" spans="1:4" ht="16.5" customHeight="1" x14ac:dyDescent="0.25">
      <c r="A414" s="98" t="s">
        <v>451</v>
      </c>
      <c r="B414" s="68"/>
      <c r="C414" s="97"/>
      <c r="D414" s="68"/>
    </row>
    <row r="415" spans="1:4" ht="16.5" customHeight="1" x14ac:dyDescent="0.25">
      <c r="A415" s="96" t="s">
        <v>452</v>
      </c>
      <c r="B415" s="68"/>
      <c r="C415" s="97"/>
      <c r="D415" s="68"/>
    </row>
    <row r="416" spans="1:4" ht="16.5" customHeight="1" x14ac:dyDescent="0.25">
      <c r="A416" s="96" t="s">
        <v>453</v>
      </c>
      <c r="B416" s="68"/>
      <c r="C416" s="97"/>
      <c r="D416" s="68"/>
    </row>
    <row r="417" spans="1:4" ht="16.5" customHeight="1" x14ac:dyDescent="0.25">
      <c r="A417" s="99" t="s">
        <v>454</v>
      </c>
      <c r="B417" s="68"/>
      <c r="C417" s="97"/>
      <c r="D417" s="68"/>
    </row>
    <row r="418" spans="1:4" ht="16.5" customHeight="1" x14ac:dyDescent="0.25">
      <c r="A418" s="101" t="s">
        <v>455</v>
      </c>
      <c r="B418" s="68"/>
      <c r="C418" s="97"/>
      <c r="D418" s="68"/>
    </row>
    <row r="419" spans="1:4" ht="16.5" customHeight="1" x14ac:dyDescent="0.25">
      <c r="A419" s="96" t="s">
        <v>456</v>
      </c>
      <c r="B419" s="68"/>
      <c r="C419" s="97"/>
      <c r="D419" s="68"/>
    </row>
    <row r="420" spans="1:4" ht="16.5" customHeight="1" x14ac:dyDescent="0.25">
      <c r="A420" s="96" t="s">
        <v>457</v>
      </c>
      <c r="B420" s="68"/>
      <c r="C420" s="97"/>
      <c r="D420" s="68"/>
    </row>
    <row r="421" spans="1:4" ht="16.5" customHeight="1" x14ac:dyDescent="0.25">
      <c r="A421" s="96" t="s">
        <v>458</v>
      </c>
      <c r="B421" s="68"/>
      <c r="C421" s="97"/>
      <c r="D421" s="68"/>
    </row>
    <row r="422" spans="1:4" ht="16.5" customHeight="1" x14ac:dyDescent="0.25">
      <c r="A422" s="99" t="s">
        <v>459</v>
      </c>
      <c r="B422" s="68"/>
      <c r="C422" s="97"/>
      <c r="D422" s="68"/>
    </row>
    <row r="423" spans="1:4" ht="16.5" customHeight="1" x14ac:dyDescent="0.25">
      <c r="A423" s="96" t="s">
        <v>460</v>
      </c>
      <c r="B423" s="68"/>
      <c r="C423" s="97"/>
      <c r="D423" s="68"/>
    </row>
    <row r="424" spans="1:4" ht="16.5" customHeight="1" x14ac:dyDescent="0.25">
      <c r="A424" s="96" t="s">
        <v>461</v>
      </c>
      <c r="B424" s="68"/>
      <c r="C424" s="97"/>
      <c r="D424" s="68"/>
    </row>
    <row r="425" spans="1:4" ht="16.5" customHeight="1" x14ac:dyDescent="0.25">
      <c r="A425" s="96" t="s">
        <v>462</v>
      </c>
      <c r="B425" s="68"/>
      <c r="C425" s="97"/>
      <c r="D425" s="68"/>
    </row>
    <row r="426" spans="1:4" ht="16.5" customHeight="1" x14ac:dyDescent="0.25">
      <c r="A426" s="101" t="s">
        <v>463</v>
      </c>
      <c r="B426" s="68"/>
      <c r="C426" s="97"/>
      <c r="D426" s="68"/>
    </row>
    <row r="427" spans="1:4" ht="16.5" customHeight="1" x14ac:dyDescent="0.25">
      <c r="A427" s="98" t="s">
        <v>464</v>
      </c>
      <c r="B427" s="68"/>
      <c r="C427" s="97"/>
      <c r="D427" s="68"/>
    </row>
    <row r="428" spans="1:4" ht="16.5" customHeight="1" x14ac:dyDescent="0.25">
      <c r="A428" s="96" t="s">
        <v>465</v>
      </c>
      <c r="B428" s="68"/>
      <c r="C428" s="97"/>
      <c r="D428" s="68"/>
    </row>
    <row r="429" spans="1:4" ht="16.5" customHeight="1" x14ac:dyDescent="0.25">
      <c r="A429" s="96" t="s">
        <v>466</v>
      </c>
      <c r="B429" s="68"/>
      <c r="C429" s="97"/>
      <c r="D429" s="68"/>
    </row>
    <row r="430" spans="1:4" ht="16.5" customHeight="1" x14ac:dyDescent="0.25">
      <c r="A430" s="96" t="s">
        <v>467</v>
      </c>
      <c r="B430" s="68"/>
      <c r="C430" s="97"/>
      <c r="D430" s="68"/>
    </row>
    <row r="431" spans="1:4" ht="16.5" customHeight="1" x14ac:dyDescent="0.25">
      <c r="A431" s="96" t="s">
        <v>468</v>
      </c>
      <c r="B431" s="68"/>
      <c r="C431" s="97"/>
      <c r="D431" s="68"/>
    </row>
    <row r="432" spans="1:4" ht="16.5" customHeight="1" x14ac:dyDescent="0.25">
      <c r="A432" s="98" t="s">
        <v>469</v>
      </c>
      <c r="B432" s="68"/>
      <c r="C432" s="97"/>
      <c r="D432" s="68"/>
    </row>
    <row r="433" spans="1:4" ht="16.5" customHeight="1" x14ac:dyDescent="0.25">
      <c r="A433" s="99" t="s">
        <v>470</v>
      </c>
      <c r="B433" s="68"/>
      <c r="C433" s="97"/>
      <c r="D433" s="68"/>
    </row>
    <row r="434" spans="1:4" ht="16.5" customHeight="1" x14ac:dyDescent="0.25">
      <c r="A434" s="99" t="s">
        <v>471</v>
      </c>
      <c r="B434" s="68"/>
      <c r="C434" s="97"/>
      <c r="D434" s="68"/>
    </row>
    <row r="435" spans="1:4" ht="16.5" customHeight="1" x14ac:dyDescent="0.25">
      <c r="A435" s="96" t="s">
        <v>472</v>
      </c>
      <c r="B435" s="68"/>
      <c r="C435" s="97"/>
      <c r="D435" s="68"/>
    </row>
    <row r="436" spans="1:4" ht="16.5" customHeight="1" x14ac:dyDescent="0.25">
      <c r="A436" s="96" t="s">
        <v>473</v>
      </c>
      <c r="B436" s="68"/>
      <c r="C436" s="97"/>
      <c r="D436" s="68"/>
    </row>
    <row r="437" spans="1:4" ht="16.5" customHeight="1" x14ac:dyDescent="0.25">
      <c r="A437" s="96" t="s">
        <v>474</v>
      </c>
      <c r="B437" s="68"/>
      <c r="C437" s="97"/>
      <c r="D437" s="68"/>
    </row>
    <row r="438" spans="1:4" ht="16.5" customHeight="1" x14ac:dyDescent="0.25">
      <c r="A438" s="96" t="s">
        <v>475</v>
      </c>
      <c r="B438" s="68"/>
      <c r="C438" s="97"/>
      <c r="D438" s="68"/>
    </row>
    <row r="439" spans="1:4" ht="16.5" customHeight="1" x14ac:dyDescent="0.25">
      <c r="A439" s="99" t="s">
        <v>476</v>
      </c>
      <c r="B439" s="68"/>
      <c r="C439" s="97"/>
      <c r="D439" s="68"/>
    </row>
    <row r="440" spans="1:4" ht="16.5" customHeight="1" x14ac:dyDescent="0.25">
      <c r="A440" s="99" t="s">
        <v>477</v>
      </c>
      <c r="B440" s="68"/>
      <c r="C440" s="97"/>
      <c r="D440" s="68"/>
    </row>
    <row r="441" spans="1:4" ht="16.5" customHeight="1" x14ac:dyDescent="0.25">
      <c r="A441" s="96" t="s">
        <v>478</v>
      </c>
      <c r="B441" s="68"/>
      <c r="C441" s="97"/>
      <c r="D441" s="68"/>
    </row>
    <row r="442" spans="1:4" ht="16.5" customHeight="1" x14ac:dyDescent="0.25">
      <c r="A442" s="96" t="s">
        <v>479</v>
      </c>
      <c r="B442" s="68"/>
      <c r="C442" s="97"/>
      <c r="D442" s="68"/>
    </row>
    <row r="443" spans="1:4" ht="16.5" customHeight="1" x14ac:dyDescent="0.25">
      <c r="A443" s="96" t="s">
        <v>480</v>
      </c>
      <c r="B443" s="68"/>
      <c r="C443" s="97"/>
      <c r="D443" s="68"/>
    </row>
    <row r="444" spans="1:4" ht="16.5" customHeight="1" x14ac:dyDescent="0.25">
      <c r="A444" s="96" t="s">
        <v>481</v>
      </c>
      <c r="B444" s="68"/>
      <c r="C444" s="97"/>
      <c r="D444" s="68"/>
    </row>
    <row r="445" spans="1:4" ht="16.5" customHeight="1" x14ac:dyDescent="0.25">
      <c r="A445" s="99" t="s">
        <v>482</v>
      </c>
      <c r="B445" s="68"/>
      <c r="C445" s="97"/>
      <c r="D445" s="68"/>
    </row>
    <row r="446" spans="1:4" ht="16.5" customHeight="1" x14ac:dyDescent="0.25">
      <c r="A446" s="96" t="s">
        <v>483</v>
      </c>
      <c r="B446" s="68"/>
      <c r="C446" s="97"/>
      <c r="D446" s="68"/>
    </row>
    <row r="447" spans="1:4" ht="16.5" customHeight="1" x14ac:dyDescent="0.25">
      <c r="A447" s="96" t="s">
        <v>484</v>
      </c>
      <c r="B447" s="68"/>
      <c r="C447" s="97"/>
      <c r="D447" s="68"/>
    </row>
    <row r="448" spans="1:4" ht="16.5" customHeight="1" x14ac:dyDescent="0.25">
      <c r="A448" s="96" t="s">
        <v>485</v>
      </c>
      <c r="B448" s="68"/>
      <c r="C448" s="97"/>
      <c r="D448" s="68"/>
    </row>
    <row r="449" spans="1:4" ht="16.5" customHeight="1" x14ac:dyDescent="0.25">
      <c r="A449" s="96" t="s">
        <v>486</v>
      </c>
      <c r="B449" s="68"/>
      <c r="C449" s="97"/>
      <c r="D449" s="68"/>
    </row>
    <row r="450" spans="1:4" ht="16.5" customHeight="1" x14ac:dyDescent="0.25">
      <c r="A450" s="101" t="s">
        <v>487</v>
      </c>
      <c r="B450" s="68"/>
      <c r="C450" s="97"/>
      <c r="D450" s="68"/>
    </row>
    <row r="451" spans="1:4" ht="16.5" customHeight="1" x14ac:dyDescent="0.25">
      <c r="A451" s="101" t="s">
        <v>488</v>
      </c>
      <c r="B451" s="68"/>
      <c r="C451" s="97"/>
      <c r="D451" s="68"/>
    </row>
    <row r="452" spans="1:4" ht="16.5" customHeight="1" x14ac:dyDescent="0.25">
      <c r="A452" s="101" t="s">
        <v>489</v>
      </c>
      <c r="B452" s="68"/>
      <c r="C452" s="97"/>
      <c r="D452" s="68"/>
    </row>
    <row r="453" spans="1:4" ht="16.5" customHeight="1" x14ac:dyDescent="0.25">
      <c r="A453" s="96" t="s">
        <v>490</v>
      </c>
      <c r="B453" s="68"/>
      <c r="C453" s="97"/>
      <c r="D453" s="68"/>
    </row>
    <row r="454" spans="1:4" ht="16.5" customHeight="1" x14ac:dyDescent="0.25">
      <c r="A454" s="96" t="s">
        <v>491</v>
      </c>
      <c r="B454" s="68"/>
      <c r="C454" s="97"/>
      <c r="D454" s="68"/>
    </row>
    <row r="455" spans="1:4" ht="16.5" customHeight="1" x14ac:dyDescent="0.25">
      <c r="A455" s="96" t="s">
        <v>492</v>
      </c>
      <c r="B455" s="68"/>
      <c r="C455" s="97"/>
      <c r="D455" s="68"/>
    </row>
    <row r="456" spans="1:4" ht="16.5" customHeight="1" x14ac:dyDescent="0.25">
      <c r="A456" s="96" t="s">
        <v>493</v>
      </c>
      <c r="B456" s="68"/>
      <c r="C456" s="97"/>
      <c r="D456" s="68"/>
    </row>
    <row r="457" spans="1:4" ht="16.5" customHeight="1" x14ac:dyDescent="0.25">
      <c r="A457" s="96" t="s">
        <v>494</v>
      </c>
      <c r="B457" s="68"/>
      <c r="C457" s="97"/>
      <c r="D457" s="68"/>
    </row>
    <row r="458" spans="1:4" ht="16.5" customHeight="1" x14ac:dyDescent="0.25">
      <c r="A458" s="96" t="s">
        <v>495</v>
      </c>
      <c r="B458" s="68"/>
      <c r="C458" s="97"/>
      <c r="D458" s="68"/>
    </row>
    <row r="459" spans="1:4" ht="16.5" customHeight="1" x14ac:dyDescent="0.25">
      <c r="A459" s="96" t="s">
        <v>496</v>
      </c>
      <c r="B459" s="68"/>
      <c r="C459" s="97"/>
      <c r="D459" s="68"/>
    </row>
    <row r="460" spans="1:4" ht="16.5" customHeight="1" x14ac:dyDescent="0.25">
      <c r="A460" s="99" t="s">
        <v>497</v>
      </c>
      <c r="B460" s="68"/>
      <c r="C460" s="97"/>
      <c r="D460" s="68"/>
    </row>
    <row r="461" spans="1:4" ht="16.5" customHeight="1" x14ac:dyDescent="0.25">
      <c r="A461" s="96" t="s">
        <v>498</v>
      </c>
      <c r="B461" s="68"/>
      <c r="C461" s="97"/>
      <c r="D461" s="68"/>
    </row>
    <row r="462" spans="1:4" ht="16.5" customHeight="1" x14ac:dyDescent="0.25">
      <c r="A462" s="96" t="s">
        <v>499</v>
      </c>
      <c r="B462" s="68"/>
      <c r="C462" s="97"/>
      <c r="D462" s="68"/>
    </row>
    <row r="463" spans="1:4" ht="16.5" customHeight="1" x14ac:dyDescent="0.25">
      <c r="A463" s="96" t="s">
        <v>500</v>
      </c>
      <c r="B463" s="68"/>
      <c r="C463" s="97"/>
      <c r="D463" s="68"/>
    </row>
    <row r="464" spans="1:4" ht="16.5" customHeight="1" x14ac:dyDescent="0.25">
      <c r="A464" s="96" t="s">
        <v>501</v>
      </c>
      <c r="B464" s="68"/>
      <c r="C464" s="97"/>
      <c r="D464" s="68"/>
    </row>
    <row r="465" spans="1:4" ht="16.5" customHeight="1" x14ac:dyDescent="0.25">
      <c r="A465" s="96" t="s">
        <v>502</v>
      </c>
      <c r="B465" s="68"/>
      <c r="C465" s="97"/>
      <c r="D465" s="68"/>
    </row>
    <row r="466" spans="1:4" ht="16.5" customHeight="1" x14ac:dyDescent="0.25">
      <c r="A466" s="96" t="s">
        <v>503</v>
      </c>
      <c r="B466" s="68"/>
      <c r="C466" s="97"/>
      <c r="D466" s="68"/>
    </row>
    <row r="467" spans="1:4" ht="16.5" customHeight="1" x14ac:dyDescent="0.25">
      <c r="A467" s="101" t="s">
        <v>504</v>
      </c>
      <c r="B467" s="68"/>
      <c r="C467" s="97"/>
      <c r="D467" s="68"/>
    </row>
    <row r="468" spans="1:4" ht="16.5" customHeight="1" x14ac:dyDescent="0.25">
      <c r="A468" s="96" t="s">
        <v>505</v>
      </c>
      <c r="B468" s="68"/>
      <c r="C468" s="97"/>
      <c r="D468" s="68"/>
    </row>
    <row r="469" spans="1:4" ht="16.5" customHeight="1" x14ac:dyDescent="0.25">
      <c r="A469" s="96" t="s">
        <v>506</v>
      </c>
      <c r="B469" s="68"/>
      <c r="C469" s="97"/>
      <c r="D469" s="68"/>
    </row>
    <row r="470" spans="1:4" ht="16.5" customHeight="1" x14ac:dyDescent="0.25">
      <c r="A470" s="96" t="s">
        <v>507</v>
      </c>
      <c r="B470" s="68"/>
      <c r="C470" s="97"/>
      <c r="D470" s="68"/>
    </row>
    <row r="471" spans="1:4" ht="16.5" customHeight="1" x14ac:dyDescent="0.25">
      <c r="A471" s="99" t="s">
        <v>508</v>
      </c>
      <c r="B471" s="68"/>
      <c r="C471" s="97"/>
      <c r="D471" s="68"/>
    </row>
    <row r="472" spans="1:4" ht="16.5" customHeight="1" x14ac:dyDescent="0.25">
      <c r="A472" s="96" t="s">
        <v>509</v>
      </c>
      <c r="B472" s="68"/>
      <c r="C472" s="97"/>
      <c r="D472" s="68"/>
    </row>
    <row r="473" spans="1:4" ht="16.5" customHeight="1" x14ac:dyDescent="0.25">
      <c r="A473" s="96" t="s">
        <v>510</v>
      </c>
      <c r="B473" s="68"/>
      <c r="C473" s="97"/>
      <c r="D473" s="68"/>
    </row>
    <row r="474" spans="1:4" ht="16.5" customHeight="1" x14ac:dyDescent="0.25">
      <c r="A474" s="96" t="s">
        <v>511</v>
      </c>
      <c r="B474" s="68"/>
      <c r="C474" s="97"/>
      <c r="D474" s="68"/>
    </row>
    <row r="475" spans="1:4" ht="16.5" customHeight="1" x14ac:dyDescent="0.25">
      <c r="A475" s="96" t="s">
        <v>512</v>
      </c>
      <c r="B475" s="68"/>
      <c r="C475" s="97"/>
      <c r="D475" s="68"/>
    </row>
    <row r="476" spans="1:4" ht="16.5" customHeight="1" x14ac:dyDescent="0.25">
      <c r="A476" s="96" t="s">
        <v>513</v>
      </c>
      <c r="B476" s="68"/>
      <c r="C476" s="97"/>
      <c r="D476" s="68"/>
    </row>
    <row r="477" spans="1:4" ht="16.5" customHeight="1" x14ac:dyDescent="0.25">
      <c r="A477" s="99" t="s">
        <v>514</v>
      </c>
      <c r="B477" s="68"/>
      <c r="C477" s="97"/>
      <c r="D477" s="68"/>
    </row>
    <row r="478" spans="1:4" ht="16.5" customHeight="1" x14ac:dyDescent="0.25">
      <c r="A478" s="96" t="s">
        <v>515</v>
      </c>
      <c r="B478" s="68"/>
      <c r="C478" s="97"/>
      <c r="D478" s="68"/>
    </row>
    <row r="479" spans="1:4" ht="16.5" customHeight="1" x14ac:dyDescent="0.25">
      <c r="A479" s="96" t="s">
        <v>516</v>
      </c>
      <c r="B479" s="68"/>
      <c r="C479" s="97"/>
      <c r="D479" s="68"/>
    </row>
    <row r="480" spans="1:4" ht="16.5" customHeight="1" x14ac:dyDescent="0.25">
      <c r="A480" s="96" t="s">
        <v>517</v>
      </c>
      <c r="B480" s="68"/>
      <c r="C480" s="97"/>
      <c r="D480" s="68"/>
    </row>
    <row r="481" spans="1:4" ht="16.5" customHeight="1" x14ac:dyDescent="0.25">
      <c r="A481" s="96" t="s">
        <v>518</v>
      </c>
      <c r="B481" s="68"/>
      <c r="C481" s="97"/>
      <c r="D481" s="68"/>
    </row>
    <row r="482" spans="1:4" ht="16.5" customHeight="1" x14ac:dyDescent="0.25">
      <c r="A482" s="96" t="s">
        <v>519</v>
      </c>
      <c r="B482" s="68"/>
      <c r="C482" s="97"/>
      <c r="D482" s="68"/>
    </row>
    <row r="483" spans="1:4" ht="16.5" customHeight="1" x14ac:dyDescent="0.25">
      <c r="A483" s="96" t="s">
        <v>520</v>
      </c>
      <c r="B483" s="68"/>
      <c r="C483" s="97"/>
      <c r="D483" s="68"/>
    </row>
    <row r="484" spans="1:4" ht="16.5" customHeight="1" x14ac:dyDescent="0.25">
      <c r="A484" s="98" t="s">
        <v>521</v>
      </c>
      <c r="B484" s="68"/>
      <c r="C484" s="97"/>
      <c r="D484" s="68"/>
    </row>
    <row r="485" spans="1:4" ht="16.5" customHeight="1" x14ac:dyDescent="0.25">
      <c r="A485" s="98" t="s">
        <v>522</v>
      </c>
      <c r="B485" s="68"/>
      <c r="C485" s="97"/>
      <c r="D485" s="68"/>
    </row>
    <row r="486" spans="1:4" ht="16.5" customHeight="1" x14ac:dyDescent="0.25">
      <c r="A486" s="98" t="s">
        <v>523</v>
      </c>
      <c r="B486" s="68"/>
      <c r="C486" s="97"/>
      <c r="D486" s="68"/>
    </row>
    <row r="487" spans="1:4" ht="16.5" customHeight="1" x14ac:dyDescent="0.25">
      <c r="A487" s="96" t="s">
        <v>524</v>
      </c>
      <c r="B487" s="68"/>
      <c r="C487" s="97"/>
      <c r="D487" s="68"/>
    </row>
    <row r="488" spans="1:4" ht="16.5" customHeight="1" x14ac:dyDescent="0.25">
      <c r="A488" s="96" t="s">
        <v>525</v>
      </c>
      <c r="B488" s="68"/>
      <c r="C488" s="97"/>
      <c r="D488" s="68"/>
    </row>
    <row r="489" spans="1:4" ht="16.5" customHeight="1" x14ac:dyDescent="0.25">
      <c r="A489" s="96" t="s">
        <v>526</v>
      </c>
      <c r="B489" s="68"/>
      <c r="C489" s="97"/>
      <c r="D489" s="68"/>
    </row>
    <row r="490" spans="1:4" ht="16.5" customHeight="1" x14ac:dyDescent="0.25">
      <c r="A490" s="96" t="s">
        <v>527</v>
      </c>
      <c r="B490" s="68"/>
      <c r="C490" s="97"/>
      <c r="D490" s="68"/>
    </row>
    <row r="491" spans="1:4" ht="16.5" customHeight="1" x14ac:dyDescent="0.25">
      <c r="A491" s="96" t="s">
        <v>528</v>
      </c>
      <c r="B491" s="68"/>
      <c r="C491" s="97"/>
      <c r="D491" s="68"/>
    </row>
    <row r="492" spans="1:4" ht="16.5" customHeight="1" x14ac:dyDescent="0.25">
      <c r="A492" s="96" t="s">
        <v>529</v>
      </c>
      <c r="B492" s="68"/>
      <c r="C492" s="97"/>
      <c r="D492" s="68"/>
    </row>
    <row r="493" spans="1:4" ht="16.5" customHeight="1" x14ac:dyDescent="0.25">
      <c r="A493" s="98" t="s">
        <v>530</v>
      </c>
      <c r="B493" s="68"/>
      <c r="C493" s="97"/>
      <c r="D493" s="68"/>
    </row>
    <row r="494" spans="1:4" ht="16.5" customHeight="1" x14ac:dyDescent="0.25">
      <c r="A494" s="96" t="s">
        <v>531</v>
      </c>
      <c r="B494" s="68"/>
      <c r="C494" s="97"/>
      <c r="D494" s="68"/>
    </row>
    <row r="495" spans="1:4" ht="16.5" customHeight="1" x14ac:dyDescent="0.25">
      <c r="A495" s="96" t="s">
        <v>532</v>
      </c>
      <c r="B495" s="68"/>
      <c r="C495" s="97"/>
      <c r="D495" s="68"/>
    </row>
    <row r="496" spans="1:4" ht="16.5" customHeight="1" x14ac:dyDescent="0.25">
      <c r="A496" s="99" t="s">
        <v>533</v>
      </c>
      <c r="B496" s="68"/>
      <c r="C496" s="97"/>
      <c r="D496" s="68"/>
    </row>
    <row r="497" spans="1:4" ht="16.5" customHeight="1" x14ac:dyDescent="0.25">
      <c r="A497" s="96" t="s">
        <v>534</v>
      </c>
      <c r="B497" s="68"/>
      <c r="C497" s="97"/>
      <c r="D497" s="68"/>
    </row>
    <row r="498" spans="1:4" ht="16.5" customHeight="1" x14ac:dyDescent="0.25">
      <c r="A498" s="96" t="s">
        <v>536</v>
      </c>
      <c r="B498" s="68"/>
      <c r="C498" s="97"/>
      <c r="D498" s="68"/>
    </row>
    <row r="499" spans="1:4" ht="16.5" customHeight="1" x14ac:dyDescent="0.25">
      <c r="A499" s="96" t="s">
        <v>537</v>
      </c>
      <c r="B499" s="68"/>
      <c r="C499" s="97"/>
      <c r="D499" s="68"/>
    </row>
    <row r="500" spans="1:4" ht="16.5" customHeight="1" x14ac:dyDescent="0.25">
      <c r="A500" s="96" t="s">
        <v>538</v>
      </c>
      <c r="B500" s="68"/>
      <c r="C500" s="97"/>
      <c r="D500" s="68"/>
    </row>
    <row r="501" spans="1:4" ht="16.5" customHeight="1" x14ac:dyDescent="0.25">
      <c r="A501" s="96" t="s">
        <v>539</v>
      </c>
      <c r="B501" s="68"/>
      <c r="C501" s="97"/>
      <c r="D501" s="68"/>
    </row>
    <row r="502" spans="1:4" ht="16.5" customHeight="1" x14ac:dyDescent="0.25">
      <c r="A502" s="96" t="s">
        <v>540</v>
      </c>
      <c r="B502" s="68"/>
      <c r="C502" s="97"/>
      <c r="D502" s="68"/>
    </row>
    <row r="503" spans="1:4" ht="16.5" customHeight="1" x14ac:dyDescent="0.25">
      <c r="A503" s="96" t="s">
        <v>541</v>
      </c>
      <c r="B503" s="68"/>
      <c r="C503" s="97"/>
      <c r="D503" s="68"/>
    </row>
    <row r="504" spans="1:4" ht="16.5" customHeight="1" x14ac:dyDescent="0.25">
      <c r="A504" s="96" t="s">
        <v>542</v>
      </c>
      <c r="B504" s="68"/>
      <c r="C504" s="97"/>
      <c r="D504" s="68"/>
    </row>
    <row r="505" spans="1:4" ht="16.5" customHeight="1" x14ac:dyDescent="0.25">
      <c r="A505" s="96" t="s">
        <v>543</v>
      </c>
      <c r="B505" s="68"/>
      <c r="C505" s="97"/>
      <c r="D505" s="68"/>
    </row>
    <row r="506" spans="1:4" ht="16.5" customHeight="1" x14ac:dyDescent="0.25">
      <c r="A506" s="98" t="s">
        <v>544</v>
      </c>
      <c r="B506" s="68"/>
      <c r="C506" s="97"/>
      <c r="D506" s="68"/>
    </row>
    <row r="507" spans="1:4" ht="16.5" customHeight="1" x14ac:dyDescent="0.25">
      <c r="A507" s="96" t="s">
        <v>545</v>
      </c>
      <c r="B507" s="68"/>
      <c r="C507" s="97"/>
      <c r="D507" s="68"/>
    </row>
    <row r="508" spans="1:4" ht="16.5" customHeight="1" x14ac:dyDescent="0.25">
      <c r="A508" s="96" t="s">
        <v>546</v>
      </c>
      <c r="B508" s="68"/>
      <c r="C508" s="97"/>
      <c r="D508" s="68"/>
    </row>
    <row r="509" spans="1:4" ht="16.5" customHeight="1" x14ac:dyDescent="0.25">
      <c r="A509" s="96" t="s">
        <v>547</v>
      </c>
      <c r="B509" s="68"/>
      <c r="C509" s="97"/>
      <c r="D509" s="68"/>
    </row>
    <row r="510" spans="1:4" ht="16.5" customHeight="1" x14ac:dyDescent="0.25">
      <c r="A510" s="99" t="s">
        <v>548</v>
      </c>
      <c r="B510" s="68"/>
      <c r="C510" s="97"/>
      <c r="D510" s="68"/>
    </row>
    <row r="511" spans="1:4" ht="16.5" customHeight="1" x14ac:dyDescent="0.25">
      <c r="A511" s="101" t="s">
        <v>549</v>
      </c>
      <c r="B511" s="68"/>
      <c r="C511" s="97"/>
      <c r="D511" s="68"/>
    </row>
    <row r="512" spans="1:4" ht="16.5" customHeight="1" x14ac:dyDescent="0.25">
      <c r="A512" s="98" t="s">
        <v>550</v>
      </c>
      <c r="B512" s="68"/>
      <c r="C512" s="97"/>
      <c r="D512" s="68"/>
    </row>
    <row r="513" spans="1:4" ht="16.5" customHeight="1" x14ac:dyDescent="0.25">
      <c r="A513" s="100" t="s">
        <v>551</v>
      </c>
      <c r="B513" s="68"/>
      <c r="C513" s="97"/>
      <c r="D513" s="68"/>
    </row>
    <row r="514" spans="1:4" ht="16.5" customHeight="1" x14ac:dyDescent="0.25">
      <c r="A514" s="96" t="s">
        <v>552</v>
      </c>
      <c r="B514" s="68"/>
      <c r="C514" s="97"/>
      <c r="D514" s="68"/>
    </row>
    <row r="515" spans="1:4" ht="16.5" customHeight="1" x14ac:dyDescent="0.25">
      <c r="A515" s="96" t="s">
        <v>553</v>
      </c>
      <c r="B515" s="68"/>
      <c r="C515" s="97"/>
      <c r="D515" s="68"/>
    </row>
    <row r="516" spans="1:4" ht="16.5" customHeight="1" x14ac:dyDescent="0.25">
      <c r="A516" s="96" t="s">
        <v>554</v>
      </c>
      <c r="B516" s="68"/>
      <c r="C516" s="97"/>
      <c r="D516" s="68"/>
    </row>
    <row r="517" spans="1:4" ht="16.5" customHeight="1" x14ac:dyDescent="0.25">
      <c r="A517" s="96" t="s">
        <v>555</v>
      </c>
      <c r="B517" s="68"/>
      <c r="C517" s="97"/>
      <c r="D517" s="68"/>
    </row>
    <row r="518" spans="1:4" ht="16.5" customHeight="1" x14ac:dyDescent="0.25">
      <c r="A518" s="99" t="s">
        <v>556</v>
      </c>
      <c r="B518" s="68"/>
      <c r="C518" s="97"/>
      <c r="D518" s="68"/>
    </row>
    <row r="519" spans="1:4" ht="16.5" customHeight="1" x14ac:dyDescent="0.25">
      <c r="A519" s="96" t="s">
        <v>557</v>
      </c>
      <c r="B519" s="68"/>
      <c r="C519" s="97"/>
      <c r="D519" s="68"/>
    </row>
    <row r="520" spans="1:4" ht="16.5" customHeight="1" x14ac:dyDescent="0.25">
      <c r="A520" s="96" t="s">
        <v>558</v>
      </c>
      <c r="B520" s="68"/>
      <c r="C520" s="97"/>
      <c r="D520" s="68"/>
    </row>
    <row r="521" spans="1:4" ht="16.5" customHeight="1" x14ac:dyDescent="0.25">
      <c r="A521" s="96" t="s">
        <v>559</v>
      </c>
      <c r="B521" s="68"/>
      <c r="C521" s="97"/>
      <c r="D521" s="68"/>
    </row>
    <row r="522" spans="1:4" ht="16.5" customHeight="1" x14ac:dyDescent="0.25">
      <c r="A522" s="96" t="s">
        <v>560</v>
      </c>
      <c r="B522" s="68"/>
      <c r="C522" s="97"/>
      <c r="D522" s="68"/>
    </row>
    <row r="523" spans="1:4" ht="16.5" customHeight="1" x14ac:dyDescent="0.25">
      <c r="A523" s="98" t="s">
        <v>561</v>
      </c>
      <c r="B523" s="68"/>
      <c r="C523" s="97"/>
      <c r="D523" s="68"/>
    </row>
    <row r="524" spans="1:4" ht="16.5" customHeight="1" x14ac:dyDescent="0.25">
      <c r="A524" s="96" t="s">
        <v>562</v>
      </c>
      <c r="B524" s="68"/>
      <c r="C524" s="97"/>
      <c r="D524" s="68"/>
    </row>
    <row r="525" spans="1:4" ht="16.5" customHeight="1" x14ac:dyDescent="0.25">
      <c r="A525" s="96" t="s">
        <v>563</v>
      </c>
      <c r="B525" s="68"/>
      <c r="C525" s="97"/>
      <c r="D525" s="68"/>
    </row>
    <row r="526" spans="1:4" ht="16.5" customHeight="1" x14ac:dyDescent="0.25">
      <c r="A526" s="96" t="s">
        <v>564</v>
      </c>
      <c r="B526" s="68"/>
      <c r="C526" s="97"/>
      <c r="D526" s="68"/>
    </row>
    <row r="527" spans="1:4" ht="16.5" customHeight="1" x14ac:dyDescent="0.25">
      <c r="A527" s="96" t="s">
        <v>565</v>
      </c>
      <c r="B527" s="68"/>
      <c r="C527" s="97"/>
      <c r="D527" s="68"/>
    </row>
    <row r="528" spans="1:4" ht="16.5" customHeight="1" x14ac:dyDescent="0.25">
      <c r="A528" s="96" t="s">
        <v>42</v>
      </c>
      <c r="B528" s="68"/>
      <c r="C528" s="97"/>
      <c r="D528" s="68"/>
    </row>
    <row r="529" spans="1:4" ht="16.5" customHeight="1" x14ac:dyDescent="0.25">
      <c r="A529" s="96" t="s">
        <v>566</v>
      </c>
      <c r="B529" s="68"/>
      <c r="C529" s="97"/>
      <c r="D529" s="68"/>
    </row>
    <row r="530" spans="1:4" ht="16.5" customHeight="1" x14ac:dyDescent="0.25">
      <c r="A530" s="96" t="s">
        <v>567</v>
      </c>
      <c r="B530" s="68"/>
      <c r="C530" s="97"/>
      <c r="D530" s="68"/>
    </row>
    <row r="531" spans="1:4" ht="16.5" customHeight="1" x14ac:dyDescent="0.25">
      <c r="A531" s="98" t="s">
        <v>568</v>
      </c>
      <c r="B531" s="68"/>
      <c r="C531" s="97"/>
      <c r="D531" s="68"/>
    </row>
    <row r="532" spans="1:4" ht="16.5" customHeight="1" x14ac:dyDescent="0.25">
      <c r="A532" s="98" t="s">
        <v>569</v>
      </c>
      <c r="B532" s="68"/>
      <c r="C532" s="97"/>
      <c r="D532" s="68"/>
    </row>
    <row r="533" spans="1:4" ht="16.5" customHeight="1" x14ac:dyDescent="0.25">
      <c r="A533" s="96" t="s">
        <v>570</v>
      </c>
      <c r="B533" s="68"/>
      <c r="C533" s="97"/>
      <c r="D533" s="68"/>
    </row>
    <row r="534" spans="1:4" ht="16.5" customHeight="1" x14ac:dyDescent="0.25">
      <c r="A534" s="98" t="s">
        <v>571</v>
      </c>
      <c r="B534" s="68"/>
      <c r="C534" s="97"/>
      <c r="D534" s="68"/>
    </row>
    <row r="535" spans="1:4" ht="16.5" customHeight="1" x14ac:dyDescent="0.25">
      <c r="A535" s="96" t="s">
        <v>572</v>
      </c>
      <c r="B535" s="68"/>
      <c r="C535" s="97"/>
      <c r="D535" s="68"/>
    </row>
    <row r="536" spans="1:4" ht="16.5" customHeight="1" x14ac:dyDescent="0.25">
      <c r="A536" s="96" t="s">
        <v>573</v>
      </c>
      <c r="B536" s="68"/>
      <c r="C536" s="97"/>
      <c r="D536" s="68"/>
    </row>
    <row r="537" spans="1:4" ht="16.5" customHeight="1" x14ac:dyDescent="0.25">
      <c r="A537" s="99" t="s">
        <v>574</v>
      </c>
      <c r="B537" s="68"/>
      <c r="C537" s="97"/>
      <c r="D537" s="68"/>
    </row>
    <row r="538" spans="1:4" ht="16.5" customHeight="1" x14ac:dyDescent="0.25">
      <c r="A538" s="96" t="s">
        <v>575</v>
      </c>
      <c r="B538" s="68"/>
      <c r="C538" s="97"/>
      <c r="D538" s="68"/>
    </row>
    <row r="539" spans="1:4" ht="16.5" customHeight="1" x14ac:dyDescent="0.25">
      <c r="A539" s="96" t="s">
        <v>576</v>
      </c>
      <c r="B539" s="68"/>
      <c r="C539" s="97"/>
      <c r="D539" s="68"/>
    </row>
    <row r="540" spans="1:4" ht="16.5" customHeight="1" x14ac:dyDescent="0.25">
      <c r="A540" s="96" t="s">
        <v>577</v>
      </c>
      <c r="B540" s="68"/>
      <c r="C540" s="97"/>
      <c r="D540" s="68"/>
    </row>
    <row r="541" spans="1:4" ht="16.5" customHeight="1" x14ac:dyDescent="0.25">
      <c r="A541" s="96" t="s">
        <v>578</v>
      </c>
      <c r="B541" s="68"/>
      <c r="C541" s="97"/>
      <c r="D541" s="68"/>
    </row>
    <row r="542" spans="1:4" ht="16.5" customHeight="1" x14ac:dyDescent="0.25">
      <c r="A542" s="96" t="s">
        <v>579</v>
      </c>
      <c r="B542" s="68"/>
      <c r="C542" s="97"/>
      <c r="D542" s="68"/>
    </row>
    <row r="543" spans="1:4" ht="16.5" customHeight="1" x14ac:dyDescent="0.25">
      <c r="A543" s="96" t="s">
        <v>580</v>
      </c>
      <c r="B543" s="68"/>
      <c r="C543" s="97"/>
      <c r="D543" s="68"/>
    </row>
    <row r="544" spans="1:4" ht="16.5" customHeight="1" x14ac:dyDescent="0.25">
      <c r="A544" s="98" t="s">
        <v>581</v>
      </c>
      <c r="B544" s="68"/>
      <c r="C544" s="97"/>
      <c r="D544" s="68"/>
    </row>
    <row r="545" spans="1:4" ht="16.5" customHeight="1" x14ac:dyDescent="0.25">
      <c r="A545" s="96" t="s">
        <v>582</v>
      </c>
      <c r="B545" s="68"/>
      <c r="C545" s="97"/>
      <c r="D545" s="68"/>
    </row>
    <row r="546" spans="1:4" ht="16.5" customHeight="1" x14ac:dyDescent="0.25">
      <c r="A546" s="96" t="s">
        <v>583</v>
      </c>
      <c r="B546" s="68"/>
      <c r="C546" s="97"/>
      <c r="D546" s="68"/>
    </row>
    <row r="547" spans="1:4" ht="16.5" customHeight="1" x14ac:dyDescent="0.25">
      <c r="A547" s="96" t="s">
        <v>584</v>
      </c>
      <c r="B547" s="68"/>
      <c r="C547" s="97"/>
      <c r="D547" s="68"/>
    </row>
    <row r="548" spans="1:4" ht="16.5" customHeight="1" x14ac:dyDescent="0.25">
      <c r="A548" s="96" t="s">
        <v>585</v>
      </c>
      <c r="B548" s="68"/>
      <c r="C548" s="97"/>
      <c r="D548" s="68"/>
    </row>
    <row r="549" spans="1:4" ht="16.5" customHeight="1" x14ac:dyDescent="0.25">
      <c r="A549" s="96" t="s">
        <v>586</v>
      </c>
      <c r="B549" s="68"/>
      <c r="C549" s="97"/>
      <c r="D549" s="68"/>
    </row>
    <row r="550" spans="1:4" ht="16.5" customHeight="1" x14ac:dyDescent="0.25">
      <c r="A550" s="96" t="s">
        <v>587</v>
      </c>
      <c r="B550" s="68"/>
      <c r="C550" s="97"/>
      <c r="D550" s="68"/>
    </row>
    <row r="551" spans="1:4" ht="16.5" customHeight="1" x14ac:dyDescent="0.25">
      <c r="A551" s="96" t="s">
        <v>588</v>
      </c>
      <c r="B551" s="68"/>
      <c r="C551" s="97"/>
      <c r="D551" s="68"/>
    </row>
    <row r="552" spans="1:4" ht="16.5" customHeight="1" x14ac:dyDescent="0.25">
      <c r="A552" s="98" t="s">
        <v>589</v>
      </c>
      <c r="B552" s="68"/>
      <c r="C552" s="97"/>
      <c r="D552" s="68"/>
    </row>
    <row r="553" spans="1:4" ht="16.5" customHeight="1" x14ac:dyDescent="0.25">
      <c r="A553" s="96" t="s">
        <v>590</v>
      </c>
      <c r="B553" s="68"/>
      <c r="C553" s="97"/>
      <c r="D553" s="68"/>
    </row>
    <row r="554" spans="1:4" ht="16.5" customHeight="1" x14ac:dyDescent="0.25">
      <c r="A554" s="96" t="s">
        <v>591</v>
      </c>
      <c r="B554" s="68"/>
      <c r="C554" s="97"/>
      <c r="D554" s="68"/>
    </row>
    <row r="555" spans="1:4" ht="16.5" customHeight="1" x14ac:dyDescent="0.25">
      <c r="A555" s="96" t="s">
        <v>592</v>
      </c>
      <c r="B555" s="68"/>
      <c r="C555" s="97"/>
      <c r="D555" s="68"/>
    </row>
    <row r="556" spans="1:4" ht="16.5" customHeight="1" x14ac:dyDescent="0.25">
      <c r="A556" s="96" t="s">
        <v>593</v>
      </c>
      <c r="B556" s="68"/>
      <c r="C556" s="97"/>
      <c r="D556" s="68"/>
    </row>
    <row r="557" spans="1:4" ht="16.5" customHeight="1" x14ac:dyDescent="0.25">
      <c r="A557" s="96" t="s">
        <v>594</v>
      </c>
      <c r="B557" s="68"/>
      <c r="C557" s="97"/>
      <c r="D557" s="68"/>
    </row>
    <row r="558" spans="1:4" ht="16.5" customHeight="1" x14ac:dyDescent="0.25">
      <c r="A558" s="98" t="s">
        <v>595</v>
      </c>
      <c r="B558" s="68"/>
      <c r="C558" s="97"/>
      <c r="D558" s="68"/>
    </row>
    <row r="559" spans="1:4" ht="16.5" customHeight="1" x14ac:dyDescent="0.25">
      <c r="A559" s="96" t="s">
        <v>596</v>
      </c>
      <c r="B559" s="68"/>
      <c r="C559" s="97"/>
      <c r="D559" s="68"/>
    </row>
    <row r="560" spans="1:4" ht="16.5" customHeight="1" x14ac:dyDescent="0.25">
      <c r="A560" s="96" t="s">
        <v>597</v>
      </c>
      <c r="B560" s="68"/>
      <c r="C560" s="97"/>
      <c r="D560" s="68"/>
    </row>
    <row r="561" spans="1:4" ht="16.5" customHeight="1" x14ac:dyDescent="0.25">
      <c r="A561" s="96" t="s">
        <v>598</v>
      </c>
      <c r="B561" s="68"/>
      <c r="C561" s="97"/>
      <c r="D561" s="68"/>
    </row>
    <row r="562" spans="1:4" ht="16.5" customHeight="1" x14ac:dyDescent="0.25">
      <c r="A562" s="101" t="s">
        <v>599</v>
      </c>
      <c r="B562" s="68"/>
      <c r="C562" s="97"/>
      <c r="D562" s="68"/>
    </row>
    <row r="563" spans="1:4" ht="16.5" customHeight="1" x14ac:dyDescent="0.25">
      <c r="A563" s="96" t="s">
        <v>600</v>
      </c>
      <c r="B563" s="68"/>
      <c r="C563" s="97"/>
      <c r="D563" s="68"/>
    </row>
    <row r="564" spans="1:4" ht="16.5" customHeight="1" x14ac:dyDescent="0.25">
      <c r="A564" s="99" t="s">
        <v>601</v>
      </c>
      <c r="B564" s="68"/>
      <c r="C564" s="97"/>
      <c r="D564" s="68"/>
    </row>
    <row r="565" spans="1:4" ht="16.5" customHeight="1" x14ac:dyDescent="0.25">
      <c r="A565" s="100" t="s">
        <v>602</v>
      </c>
      <c r="B565" s="68"/>
      <c r="C565" s="97"/>
      <c r="D565" s="68"/>
    </row>
    <row r="566" spans="1:4" ht="16.5" customHeight="1" x14ac:dyDescent="0.25">
      <c r="A566" s="96" t="s">
        <v>603</v>
      </c>
      <c r="B566" s="68"/>
      <c r="C566" s="97"/>
      <c r="D566" s="68"/>
    </row>
    <row r="567" spans="1:4" ht="16.5" customHeight="1" x14ac:dyDescent="0.25">
      <c r="A567" s="96" t="s">
        <v>604</v>
      </c>
      <c r="B567" s="68"/>
      <c r="C567" s="97"/>
      <c r="D567" s="68"/>
    </row>
    <row r="568" spans="1:4" ht="16.5" customHeight="1" x14ac:dyDescent="0.25">
      <c r="A568" s="96" t="s">
        <v>605</v>
      </c>
      <c r="B568" s="68"/>
      <c r="C568" s="97"/>
      <c r="D568" s="68"/>
    </row>
    <row r="569" spans="1:4" ht="16.5" customHeight="1" x14ac:dyDescent="0.25">
      <c r="A569" s="96" t="s">
        <v>606</v>
      </c>
      <c r="B569" s="68"/>
      <c r="C569" s="97"/>
      <c r="D569" s="68"/>
    </row>
    <row r="570" spans="1:4" ht="16.5" customHeight="1" x14ac:dyDescent="0.25">
      <c r="A570" s="100" t="s">
        <v>607</v>
      </c>
      <c r="B570" s="68"/>
      <c r="C570" s="97"/>
      <c r="D570" s="68"/>
    </row>
    <row r="571" spans="1:4" ht="16.5" customHeight="1" x14ac:dyDescent="0.25">
      <c r="A571" s="98" t="s">
        <v>608</v>
      </c>
      <c r="B571" s="68"/>
      <c r="C571" s="97"/>
      <c r="D571" s="68"/>
    </row>
    <row r="572" spans="1:4" ht="16.5" customHeight="1" x14ac:dyDescent="0.25">
      <c r="A572" s="96" t="s">
        <v>609</v>
      </c>
      <c r="B572" s="68"/>
      <c r="C572" s="97"/>
      <c r="D572" s="68"/>
    </row>
    <row r="573" spans="1:4" ht="16.5" customHeight="1" x14ac:dyDescent="0.25">
      <c r="A573" s="96" t="s">
        <v>610</v>
      </c>
      <c r="B573" s="68"/>
      <c r="C573" s="97"/>
      <c r="D573" s="68"/>
    </row>
    <row r="574" spans="1:4" ht="16.5" customHeight="1" x14ac:dyDescent="0.25">
      <c r="A574" s="96" t="s">
        <v>611</v>
      </c>
      <c r="B574" s="68"/>
      <c r="C574" s="97"/>
      <c r="D574" s="68"/>
    </row>
    <row r="575" spans="1:4" ht="16.5" customHeight="1" x14ac:dyDescent="0.25">
      <c r="A575" s="96" t="s">
        <v>612</v>
      </c>
      <c r="B575" s="68"/>
      <c r="C575" s="97"/>
      <c r="D575" s="68"/>
    </row>
    <row r="576" spans="1:4" ht="16.5" customHeight="1" x14ac:dyDescent="0.25">
      <c r="A576" s="96" t="s">
        <v>1039</v>
      </c>
      <c r="B576" s="68"/>
      <c r="C576" s="97"/>
      <c r="D576" s="68"/>
    </row>
    <row r="577" spans="1:4" ht="16.5" customHeight="1" x14ac:dyDescent="0.25">
      <c r="A577" s="98" t="s">
        <v>613</v>
      </c>
      <c r="B577" s="68"/>
      <c r="C577" s="97"/>
      <c r="D577" s="68"/>
    </row>
    <row r="578" spans="1:4" ht="16.5" customHeight="1" x14ac:dyDescent="0.25">
      <c r="A578" s="98" t="s">
        <v>614</v>
      </c>
      <c r="B578" s="68"/>
      <c r="C578" s="97"/>
      <c r="D578" s="68"/>
    </row>
    <row r="579" spans="1:4" ht="16.5" customHeight="1" x14ac:dyDescent="0.25">
      <c r="A579" s="96" t="s">
        <v>615</v>
      </c>
      <c r="B579" s="68"/>
      <c r="C579" s="97"/>
      <c r="D579" s="68"/>
    </row>
    <row r="580" spans="1:4" ht="16.5" customHeight="1" x14ac:dyDescent="0.25">
      <c r="A580" s="96" t="s">
        <v>616</v>
      </c>
      <c r="B580" s="68"/>
      <c r="C580" s="97"/>
      <c r="D580" s="68"/>
    </row>
    <row r="581" spans="1:4" ht="16.5" customHeight="1" x14ac:dyDescent="0.25">
      <c r="A581" s="96" t="s">
        <v>617</v>
      </c>
      <c r="B581" s="68"/>
      <c r="C581" s="97"/>
      <c r="D581" s="68"/>
    </row>
    <row r="582" spans="1:4" ht="16.5" customHeight="1" x14ac:dyDescent="0.25">
      <c r="A582" s="98" t="s">
        <v>618</v>
      </c>
      <c r="B582" s="68"/>
      <c r="C582" s="97"/>
      <c r="D582" s="68"/>
    </row>
    <row r="583" spans="1:4" ht="16.5" customHeight="1" x14ac:dyDescent="0.25">
      <c r="A583" s="96" t="s">
        <v>619</v>
      </c>
      <c r="B583" s="68"/>
      <c r="C583" s="97"/>
      <c r="D583" s="68"/>
    </row>
    <row r="584" spans="1:4" ht="16.5" customHeight="1" x14ac:dyDescent="0.25">
      <c r="A584" s="96" t="s">
        <v>620</v>
      </c>
      <c r="B584" s="68"/>
      <c r="C584" s="97"/>
      <c r="D584" s="68"/>
    </row>
    <row r="585" spans="1:4" ht="16.5" customHeight="1" x14ac:dyDescent="0.25">
      <c r="A585" s="96" t="s">
        <v>621</v>
      </c>
      <c r="B585" s="68"/>
      <c r="C585" s="97"/>
      <c r="D585" s="68"/>
    </row>
    <row r="586" spans="1:4" ht="16.5" customHeight="1" x14ac:dyDescent="0.25">
      <c r="A586" s="98" t="s">
        <v>622</v>
      </c>
      <c r="B586" s="68"/>
      <c r="C586" s="97"/>
      <c r="D586" s="68"/>
    </row>
    <row r="587" spans="1:4" ht="16.5" customHeight="1" x14ac:dyDescent="0.25">
      <c r="A587" s="96" t="s">
        <v>623</v>
      </c>
      <c r="B587" s="68"/>
      <c r="C587" s="97"/>
      <c r="D587" s="68"/>
    </row>
    <row r="588" spans="1:4" ht="16.5" customHeight="1" x14ac:dyDescent="0.25">
      <c r="A588" s="96" t="s">
        <v>624</v>
      </c>
      <c r="B588" s="68"/>
      <c r="C588" s="97"/>
      <c r="D588" s="68"/>
    </row>
    <row r="589" spans="1:4" ht="16.5" customHeight="1" x14ac:dyDescent="0.25">
      <c r="A589" s="96" t="s">
        <v>625</v>
      </c>
      <c r="B589" s="68"/>
      <c r="C589" s="97"/>
      <c r="D589" s="68"/>
    </row>
    <row r="590" spans="1:4" ht="16.5" customHeight="1" x14ac:dyDescent="0.25">
      <c r="A590" s="96" t="s">
        <v>626</v>
      </c>
      <c r="B590" s="68"/>
      <c r="C590" s="97"/>
      <c r="D590" s="68"/>
    </row>
    <row r="591" spans="1:4" ht="16.5" customHeight="1" x14ac:dyDescent="0.25">
      <c r="A591" s="99" t="s">
        <v>627</v>
      </c>
      <c r="B591" s="68"/>
      <c r="C591" s="97"/>
      <c r="D591" s="68"/>
    </row>
    <row r="592" spans="1:4" ht="16.5" customHeight="1" x14ac:dyDescent="0.25">
      <c r="A592" s="96" t="s">
        <v>628</v>
      </c>
      <c r="B592" s="68"/>
      <c r="C592" s="97"/>
      <c r="D592" s="68"/>
    </row>
    <row r="593" spans="1:4" ht="16.5" customHeight="1" x14ac:dyDescent="0.25">
      <c r="A593" s="96" t="s">
        <v>629</v>
      </c>
      <c r="B593" s="68"/>
      <c r="C593" s="97"/>
      <c r="D593" s="68"/>
    </row>
    <row r="594" spans="1:4" ht="16.5" customHeight="1" x14ac:dyDescent="0.25">
      <c r="A594" s="96" t="s">
        <v>630</v>
      </c>
      <c r="B594" s="68"/>
      <c r="C594" s="97"/>
      <c r="D594" s="68"/>
    </row>
    <row r="595" spans="1:4" ht="16.5" customHeight="1" x14ac:dyDescent="0.25">
      <c r="A595" s="96" t="s">
        <v>631</v>
      </c>
      <c r="B595" s="68"/>
      <c r="C595" s="97"/>
      <c r="D595" s="68"/>
    </row>
    <row r="596" spans="1:4" ht="16.5" customHeight="1" x14ac:dyDescent="0.25">
      <c r="A596" s="96" t="s">
        <v>632</v>
      </c>
      <c r="B596" s="68"/>
      <c r="C596" s="97"/>
      <c r="D596" s="68"/>
    </row>
    <row r="597" spans="1:4" ht="16.5" customHeight="1" x14ac:dyDescent="0.25">
      <c r="A597" s="96" t="s">
        <v>633</v>
      </c>
      <c r="B597" s="68"/>
      <c r="C597" s="97"/>
      <c r="D597" s="68"/>
    </row>
    <row r="598" spans="1:4" ht="16.5" customHeight="1" x14ac:dyDescent="0.25">
      <c r="A598" s="99" t="s">
        <v>634</v>
      </c>
      <c r="B598" s="68"/>
      <c r="C598" s="97"/>
      <c r="D598" s="68"/>
    </row>
    <row r="599" spans="1:4" ht="16.5" customHeight="1" x14ac:dyDescent="0.25">
      <c r="A599" s="99" t="s">
        <v>635</v>
      </c>
      <c r="B599" s="68"/>
      <c r="C599" s="97"/>
      <c r="D599" s="68"/>
    </row>
    <row r="600" spans="1:4" ht="16.5" customHeight="1" x14ac:dyDescent="0.25">
      <c r="A600" s="96" t="s">
        <v>636</v>
      </c>
      <c r="B600" s="68"/>
      <c r="C600" s="97"/>
      <c r="D600" s="68"/>
    </row>
    <row r="601" spans="1:4" ht="16.5" customHeight="1" x14ac:dyDescent="0.25">
      <c r="A601" s="96" t="s">
        <v>637</v>
      </c>
      <c r="B601" s="68"/>
      <c r="C601" s="97"/>
      <c r="D601" s="68"/>
    </row>
    <row r="602" spans="1:4" ht="16.5" customHeight="1" x14ac:dyDescent="0.25">
      <c r="A602" s="96" t="s">
        <v>638</v>
      </c>
      <c r="B602" s="68"/>
      <c r="C602" s="97"/>
      <c r="D602" s="68"/>
    </row>
    <row r="603" spans="1:4" ht="16.5" customHeight="1" x14ac:dyDescent="0.25">
      <c r="A603" s="96" t="s">
        <v>639</v>
      </c>
      <c r="B603" s="68"/>
      <c r="C603" s="97"/>
      <c r="D603" s="68"/>
    </row>
    <row r="604" spans="1:4" ht="16.5" customHeight="1" x14ac:dyDescent="0.25">
      <c r="A604" s="96" t="s">
        <v>640</v>
      </c>
      <c r="B604" s="68"/>
      <c r="C604" s="97"/>
      <c r="D604" s="68"/>
    </row>
    <row r="605" spans="1:4" ht="16.5" customHeight="1" x14ac:dyDescent="0.25">
      <c r="A605" s="96" t="s">
        <v>641</v>
      </c>
      <c r="B605" s="68"/>
      <c r="C605" s="97"/>
      <c r="D605" s="68"/>
    </row>
    <row r="606" spans="1:4" ht="16.5" customHeight="1" x14ac:dyDescent="0.25">
      <c r="A606" s="99" t="s">
        <v>48</v>
      </c>
      <c r="B606" s="68"/>
      <c r="C606" s="97"/>
      <c r="D606" s="68"/>
    </row>
    <row r="607" spans="1:4" ht="16.5" customHeight="1" x14ac:dyDescent="0.25">
      <c r="A607" s="96" t="s">
        <v>642</v>
      </c>
      <c r="B607" s="68"/>
      <c r="C607" s="97"/>
      <c r="D607" s="68"/>
    </row>
    <row r="608" spans="1:4" ht="16.5" customHeight="1" x14ac:dyDescent="0.25">
      <c r="A608" s="99" t="s">
        <v>643</v>
      </c>
      <c r="B608" s="68"/>
      <c r="C608" s="97"/>
      <c r="D608" s="68"/>
    </row>
    <row r="609" spans="1:4" ht="16.5" customHeight="1" x14ac:dyDescent="0.25">
      <c r="A609" s="96" t="s">
        <v>644</v>
      </c>
      <c r="B609" s="68"/>
      <c r="C609" s="97"/>
      <c r="D609" s="68"/>
    </row>
    <row r="610" spans="1:4" ht="16.5" customHeight="1" x14ac:dyDescent="0.25">
      <c r="A610" s="98" t="s">
        <v>645</v>
      </c>
      <c r="B610" s="68"/>
      <c r="C610" s="97"/>
      <c r="D610" s="68"/>
    </row>
    <row r="611" spans="1:4" ht="16.5" customHeight="1" x14ac:dyDescent="0.25">
      <c r="A611" s="96" t="s">
        <v>646</v>
      </c>
      <c r="B611" s="68"/>
      <c r="C611" s="97"/>
      <c r="D611" s="68"/>
    </row>
    <row r="612" spans="1:4" ht="16.5" customHeight="1" x14ac:dyDescent="0.25">
      <c r="A612" s="96" t="s">
        <v>647</v>
      </c>
      <c r="B612" s="68"/>
      <c r="C612" s="97"/>
      <c r="D612" s="68"/>
    </row>
    <row r="613" spans="1:4" ht="16.5" customHeight="1" x14ac:dyDescent="0.25">
      <c r="A613" s="96" t="s">
        <v>648</v>
      </c>
      <c r="B613" s="68"/>
      <c r="C613" s="97"/>
      <c r="D613" s="68"/>
    </row>
    <row r="614" spans="1:4" ht="16.5" customHeight="1" x14ac:dyDescent="0.25">
      <c r="A614" s="96" t="s">
        <v>649</v>
      </c>
      <c r="B614" s="68"/>
      <c r="C614" s="97"/>
      <c r="D614" s="68"/>
    </row>
    <row r="615" spans="1:4" ht="16.5" customHeight="1" x14ac:dyDescent="0.25">
      <c r="A615" s="96" t="s">
        <v>650</v>
      </c>
      <c r="B615" s="68"/>
      <c r="C615" s="97"/>
      <c r="D615" s="68"/>
    </row>
    <row r="616" spans="1:4" ht="16.5" customHeight="1" x14ac:dyDescent="0.25">
      <c r="A616" s="96" t="s">
        <v>651</v>
      </c>
      <c r="B616" s="68"/>
      <c r="C616" s="97"/>
      <c r="D616" s="68"/>
    </row>
    <row r="617" spans="1:4" ht="16.5" customHeight="1" x14ac:dyDescent="0.25">
      <c r="A617" s="101" t="s">
        <v>652</v>
      </c>
      <c r="B617" s="68"/>
      <c r="C617" s="97"/>
      <c r="D617" s="68"/>
    </row>
    <row r="618" spans="1:4" ht="16.5" customHeight="1" x14ac:dyDescent="0.25">
      <c r="A618" s="101" t="s">
        <v>653</v>
      </c>
      <c r="B618" s="68"/>
      <c r="C618" s="97"/>
      <c r="D618" s="68"/>
    </row>
    <row r="619" spans="1:4" ht="16.5" customHeight="1" x14ac:dyDescent="0.25">
      <c r="A619" s="101" t="s">
        <v>654</v>
      </c>
      <c r="B619" s="68"/>
      <c r="C619" s="97"/>
      <c r="D619" s="68"/>
    </row>
    <row r="620" spans="1:4" ht="16.5" customHeight="1" x14ac:dyDescent="0.25">
      <c r="A620" s="96" t="s">
        <v>655</v>
      </c>
      <c r="B620" s="68"/>
      <c r="C620" s="97"/>
      <c r="D620" s="68"/>
    </row>
    <row r="621" spans="1:4" ht="16.5" customHeight="1" x14ac:dyDescent="0.25">
      <c r="A621" s="96" t="s">
        <v>656</v>
      </c>
      <c r="B621" s="68"/>
      <c r="C621" s="97"/>
      <c r="D621" s="68"/>
    </row>
    <row r="622" spans="1:4" ht="16.5" customHeight="1" x14ac:dyDescent="0.25">
      <c r="A622" s="96" t="s">
        <v>657</v>
      </c>
      <c r="B622" s="68"/>
      <c r="C622" s="97"/>
      <c r="D622" s="68"/>
    </row>
    <row r="623" spans="1:4" ht="16.5" customHeight="1" x14ac:dyDescent="0.25">
      <c r="A623" s="101" t="s">
        <v>658</v>
      </c>
      <c r="B623" s="68"/>
      <c r="C623" s="97"/>
      <c r="D623" s="68"/>
    </row>
    <row r="624" spans="1:4" ht="16.5" customHeight="1" x14ac:dyDescent="0.25">
      <c r="A624" s="101" t="s">
        <v>659</v>
      </c>
      <c r="B624" s="68"/>
      <c r="C624" s="97"/>
      <c r="D624" s="68"/>
    </row>
    <row r="625" spans="1:4" ht="16.5" customHeight="1" x14ac:dyDescent="0.25">
      <c r="A625" s="101" t="s">
        <v>660</v>
      </c>
      <c r="B625" s="68"/>
      <c r="C625" s="97"/>
      <c r="D625" s="68"/>
    </row>
    <row r="626" spans="1:4" ht="16.5" customHeight="1" x14ac:dyDescent="0.25">
      <c r="A626" s="101" t="s">
        <v>661</v>
      </c>
      <c r="B626" s="68"/>
      <c r="C626" s="97"/>
      <c r="D626" s="68"/>
    </row>
    <row r="627" spans="1:4" ht="16.5" customHeight="1" x14ac:dyDescent="0.25">
      <c r="A627" s="96" t="s">
        <v>662</v>
      </c>
      <c r="B627" s="68"/>
      <c r="C627" s="97"/>
      <c r="D627" s="68"/>
    </row>
    <row r="628" spans="1:4" ht="16.5" customHeight="1" x14ac:dyDescent="0.25">
      <c r="A628" s="101" t="s">
        <v>663</v>
      </c>
      <c r="B628" s="68"/>
      <c r="C628" s="97"/>
      <c r="D628" s="68"/>
    </row>
    <row r="629" spans="1:4" ht="16.5" customHeight="1" x14ac:dyDescent="0.25">
      <c r="A629" s="96" t="s">
        <v>664</v>
      </c>
      <c r="B629" s="68"/>
      <c r="C629" s="97"/>
      <c r="D629" s="68"/>
    </row>
    <row r="630" spans="1:4" ht="16.5" customHeight="1" x14ac:dyDescent="0.25">
      <c r="A630" s="96" t="s">
        <v>665</v>
      </c>
      <c r="B630" s="68"/>
      <c r="C630" s="97"/>
      <c r="D630" s="68"/>
    </row>
    <row r="631" spans="1:4" ht="16.5" customHeight="1" x14ac:dyDescent="0.25">
      <c r="A631" s="96" t="s">
        <v>666</v>
      </c>
      <c r="B631" s="68"/>
      <c r="C631" s="97"/>
      <c r="D631" s="68"/>
    </row>
    <row r="632" spans="1:4" ht="16.5" customHeight="1" x14ac:dyDescent="0.25">
      <c r="A632" s="96" t="s">
        <v>667</v>
      </c>
      <c r="B632" s="68"/>
      <c r="C632" s="97"/>
      <c r="D632" s="68"/>
    </row>
    <row r="633" spans="1:4" ht="16.5" customHeight="1" x14ac:dyDescent="0.25">
      <c r="A633" s="96" t="s">
        <v>668</v>
      </c>
      <c r="B633" s="68"/>
      <c r="C633" s="97"/>
      <c r="D633" s="68"/>
    </row>
    <row r="634" spans="1:4" ht="16.5" customHeight="1" x14ac:dyDescent="0.25">
      <c r="A634" s="96" t="s">
        <v>669</v>
      </c>
      <c r="B634" s="68"/>
      <c r="C634" s="97"/>
      <c r="D634" s="68"/>
    </row>
    <row r="635" spans="1:4" ht="16.5" customHeight="1" x14ac:dyDescent="0.25">
      <c r="A635" s="96" t="s">
        <v>670</v>
      </c>
      <c r="B635" s="68"/>
      <c r="C635" s="97"/>
      <c r="D635" s="68"/>
    </row>
    <row r="636" spans="1:4" ht="16.5" customHeight="1" x14ac:dyDescent="0.25">
      <c r="A636" s="96" t="s">
        <v>671</v>
      </c>
      <c r="B636" s="68"/>
      <c r="C636" s="97"/>
      <c r="D636" s="68"/>
    </row>
    <row r="637" spans="1:4" ht="16.5" customHeight="1" x14ac:dyDescent="0.25">
      <c r="A637" s="96" t="s">
        <v>672</v>
      </c>
      <c r="B637" s="68"/>
      <c r="C637" s="97"/>
      <c r="D637" s="68"/>
    </row>
    <row r="638" spans="1:4" ht="16.5" customHeight="1" x14ac:dyDescent="0.25">
      <c r="A638" s="96" t="s">
        <v>673</v>
      </c>
      <c r="B638" s="68"/>
      <c r="C638" s="97"/>
      <c r="D638" s="68"/>
    </row>
    <row r="639" spans="1:4" ht="16.5" customHeight="1" x14ac:dyDescent="0.25">
      <c r="A639" s="96" t="s">
        <v>674</v>
      </c>
      <c r="B639" s="68"/>
      <c r="C639" s="97"/>
      <c r="D639" s="68"/>
    </row>
    <row r="640" spans="1:4" ht="16.5" customHeight="1" x14ac:dyDescent="0.25">
      <c r="A640" s="96" t="s">
        <v>675</v>
      </c>
      <c r="B640" s="68"/>
      <c r="C640" s="97"/>
      <c r="D640" s="68"/>
    </row>
    <row r="641" spans="1:4" ht="16.5" customHeight="1" x14ac:dyDescent="0.25">
      <c r="A641" s="98" t="s">
        <v>676</v>
      </c>
      <c r="B641" s="68"/>
      <c r="C641" s="97"/>
      <c r="D641" s="68"/>
    </row>
    <row r="642" spans="1:4" ht="16.5" customHeight="1" x14ac:dyDescent="0.25">
      <c r="A642" s="96" t="s">
        <v>677</v>
      </c>
      <c r="B642" s="68"/>
      <c r="C642" s="97"/>
      <c r="D642" s="68"/>
    </row>
    <row r="643" spans="1:4" ht="16.5" customHeight="1" x14ac:dyDescent="0.25">
      <c r="A643" s="98" t="s">
        <v>678</v>
      </c>
      <c r="B643" s="68"/>
      <c r="C643" s="97"/>
      <c r="D643" s="68"/>
    </row>
    <row r="644" spans="1:4" ht="16.5" customHeight="1" x14ac:dyDescent="0.25">
      <c r="A644" s="98" t="s">
        <v>679</v>
      </c>
      <c r="B644" s="68"/>
      <c r="C644" s="97"/>
      <c r="D644" s="68"/>
    </row>
    <row r="645" spans="1:4" ht="16.5" customHeight="1" x14ac:dyDescent="0.25">
      <c r="A645" s="98" t="s">
        <v>680</v>
      </c>
      <c r="B645" s="68"/>
      <c r="C645" s="97"/>
      <c r="D645" s="68"/>
    </row>
    <row r="646" spans="1:4" ht="16.5" customHeight="1" x14ac:dyDescent="0.25">
      <c r="A646" s="98" t="s">
        <v>681</v>
      </c>
      <c r="B646" s="68"/>
      <c r="C646" s="97"/>
      <c r="D646" s="68"/>
    </row>
    <row r="647" spans="1:4" ht="16.5" customHeight="1" x14ac:dyDescent="0.25">
      <c r="A647" s="98" t="s">
        <v>682</v>
      </c>
      <c r="B647" s="68"/>
      <c r="C647" s="97"/>
      <c r="D647" s="68"/>
    </row>
    <row r="648" spans="1:4" ht="16.5" customHeight="1" x14ac:dyDescent="0.25">
      <c r="A648" s="96" t="s">
        <v>683</v>
      </c>
      <c r="B648" s="68"/>
      <c r="C648" s="97"/>
      <c r="D648" s="68"/>
    </row>
    <row r="649" spans="1:4" ht="16.5" customHeight="1" x14ac:dyDescent="0.25">
      <c r="A649" s="96" t="s">
        <v>684</v>
      </c>
      <c r="B649" s="68"/>
      <c r="C649" s="97"/>
      <c r="D649" s="68"/>
    </row>
    <row r="650" spans="1:4" ht="16.5" customHeight="1" x14ac:dyDescent="0.25">
      <c r="A650" s="96" t="s">
        <v>685</v>
      </c>
      <c r="B650" s="68"/>
      <c r="C650" s="97"/>
      <c r="D650" s="68"/>
    </row>
    <row r="651" spans="1:4" ht="16.5" customHeight="1" x14ac:dyDescent="0.25">
      <c r="A651" s="96" t="s">
        <v>1040</v>
      </c>
      <c r="B651" s="68"/>
      <c r="C651" s="97"/>
      <c r="D651" s="68"/>
    </row>
    <row r="652" spans="1:4" ht="16.5" customHeight="1" x14ac:dyDescent="0.25">
      <c r="A652" s="96" t="s">
        <v>686</v>
      </c>
      <c r="B652" s="68"/>
      <c r="C652" s="97"/>
      <c r="D652" s="68"/>
    </row>
    <row r="653" spans="1:4" ht="16.5" customHeight="1" x14ac:dyDescent="0.25">
      <c r="A653" s="96" t="s">
        <v>687</v>
      </c>
      <c r="B653" s="68"/>
      <c r="C653" s="97"/>
      <c r="D653" s="68"/>
    </row>
    <row r="654" spans="1:4" ht="16.5" customHeight="1" x14ac:dyDescent="0.25">
      <c r="A654" s="101" t="s">
        <v>688</v>
      </c>
      <c r="B654" s="68"/>
      <c r="C654" s="97"/>
      <c r="D654" s="68"/>
    </row>
    <row r="655" spans="1:4" ht="16.5" customHeight="1" x14ac:dyDescent="0.25">
      <c r="A655" s="101" t="s">
        <v>689</v>
      </c>
      <c r="B655" s="68"/>
      <c r="C655" s="97"/>
      <c r="D655" s="68"/>
    </row>
    <row r="656" spans="1:4" ht="16.5" customHeight="1" x14ac:dyDescent="0.25">
      <c r="A656" s="96" t="s">
        <v>690</v>
      </c>
      <c r="B656" s="68"/>
      <c r="C656" s="97"/>
      <c r="D656" s="68"/>
    </row>
    <row r="657" spans="1:4" ht="16.5" customHeight="1" x14ac:dyDescent="0.25">
      <c r="A657" s="96" t="s">
        <v>691</v>
      </c>
      <c r="B657" s="68"/>
      <c r="C657" s="97"/>
      <c r="D657" s="68"/>
    </row>
    <row r="658" spans="1:4" ht="16.5" customHeight="1" x14ac:dyDescent="0.25">
      <c r="A658" s="96" t="s">
        <v>692</v>
      </c>
      <c r="B658" s="68"/>
      <c r="C658" s="97"/>
      <c r="D658" s="68"/>
    </row>
    <row r="659" spans="1:4" ht="16.5" customHeight="1" x14ac:dyDescent="0.25">
      <c r="A659" s="98" t="s">
        <v>693</v>
      </c>
      <c r="B659" s="68"/>
      <c r="C659" s="97"/>
      <c r="D659" s="68"/>
    </row>
    <row r="660" spans="1:4" ht="16.5" customHeight="1" x14ac:dyDescent="0.25">
      <c r="A660" s="96" t="s">
        <v>694</v>
      </c>
      <c r="B660" s="68"/>
      <c r="C660" s="97"/>
      <c r="D660" s="68"/>
    </row>
    <row r="661" spans="1:4" ht="16.5" customHeight="1" x14ac:dyDescent="0.25">
      <c r="A661" s="101" t="s">
        <v>695</v>
      </c>
      <c r="B661" s="68"/>
      <c r="C661" s="97"/>
      <c r="D661" s="68"/>
    </row>
    <row r="662" spans="1:4" ht="16.5" customHeight="1" x14ac:dyDescent="0.25">
      <c r="A662" s="96" t="s">
        <v>696</v>
      </c>
      <c r="B662" s="68"/>
      <c r="C662" s="97"/>
      <c r="D662" s="68"/>
    </row>
    <row r="663" spans="1:4" ht="16.5" customHeight="1" x14ac:dyDescent="0.25">
      <c r="A663" s="96" t="s">
        <v>697</v>
      </c>
      <c r="B663" s="68"/>
      <c r="C663" s="97"/>
      <c r="D663" s="68"/>
    </row>
    <row r="664" spans="1:4" ht="16.5" customHeight="1" x14ac:dyDescent="0.25">
      <c r="A664" s="98" t="s">
        <v>698</v>
      </c>
      <c r="B664" s="68"/>
      <c r="C664" s="97"/>
      <c r="D664" s="68"/>
    </row>
    <row r="665" spans="1:4" ht="16.5" customHeight="1" x14ac:dyDescent="0.25">
      <c r="A665" s="96" t="s">
        <v>699</v>
      </c>
      <c r="B665" s="68"/>
      <c r="C665" s="97"/>
      <c r="D665" s="68"/>
    </row>
    <row r="666" spans="1:4" ht="16.5" customHeight="1" x14ac:dyDescent="0.25">
      <c r="A666" s="98" t="s">
        <v>700</v>
      </c>
      <c r="B666" s="68"/>
      <c r="C666" s="97"/>
      <c r="D666" s="68"/>
    </row>
    <row r="667" spans="1:4" ht="16.5" customHeight="1" x14ac:dyDescent="0.25">
      <c r="A667" s="98" t="s">
        <v>701</v>
      </c>
      <c r="B667" s="68"/>
      <c r="C667" s="97"/>
      <c r="D667" s="68"/>
    </row>
    <row r="668" spans="1:4" ht="16.5" customHeight="1" x14ac:dyDescent="0.25">
      <c r="A668" s="98" t="s">
        <v>702</v>
      </c>
      <c r="B668" s="68"/>
      <c r="C668" s="97"/>
      <c r="D668" s="68"/>
    </row>
    <row r="669" spans="1:4" ht="16.5" customHeight="1" x14ac:dyDescent="0.25">
      <c r="A669" s="98" t="s">
        <v>703</v>
      </c>
      <c r="B669" s="68"/>
      <c r="C669" s="97"/>
      <c r="D669" s="68"/>
    </row>
    <row r="670" spans="1:4" ht="16.5" customHeight="1" x14ac:dyDescent="0.25">
      <c r="A670" s="98" t="s">
        <v>704</v>
      </c>
      <c r="B670" s="68"/>
      <c r="C670" s="97"/>
      <c r="D670" s="68"/>
    </row>
    <row r="671" spans="1:4" ht="16.5" customHeight="1" x14ac:dyDescent="0.25">
      <c r="A671" s="96" t="s">
        <v>705</v>
      </c>
      <c r="B671" s="68"/>
      <c r="C671" s="97"/>
      <c r="D671" s="68"/>
    </row>
    <row r="672" spans="1:4" ht="16.5" customHeight="1" x14ac:dyDescent="0.25">
      <c r="A672" s="101" t="s">
        <v>706</v>
      </c>
      <c r="B672" s="68"/>
      <c r="C672" s="97"/>
      <c r="D672" s="68"/>
    </row>
    <row r="673" spans="1:4" ht="16.5" customHeight="1" x14ac:dyDescent="0.25">
      <c r="A673" s="101" t="s">
        <v>707</v>
      </c>
      <c r="B673" s="68"/>
      <c r="C673" s="97"/>
      <c r="D673" s="68"/>
    </row>
    <row r="674" spans="1:4" ht="16.5" customHeight="1" x14ac:dyDescent="0.25">
      <c r="A674" s="96" t="s">
        <v>708</v>
      </c>
      <c r="B674" s="68"/>
      <c r="C674" s="97"/>
      <c r="D674" s="68"/>
    </row>
    <row r="675" spans="1:4" ht="16.5" customHeight="1" x14ac:dyDescent="0.25">
      <c r="A675" s="101" t="s">
        <v>709</v>
      </c>
      <c r="B675" s="68"/>
      <c r="C675" s="97"/>
      <c r="D675" s="68"/>
    </row>
    <row r="676" spans="1:4" ht="16.5" customHeight="1" x14ac:dyDescent="0.25">
      <c r="A676" s="101" t="s">
        <v>710</v>
      </c>
      <c r="B676" s="68"/>
      <c r="C676" s="97"/>
      <c r="D676" s="68"/>
    </row>
    <row r="677" spans="1:4" ht="16.5" customHeight="1" x14ac:dyDescent="0.25">
      <c r="A677" s="96" t="s">
        <v>711</v>
      </c>
      <c r="B677" s="68"/>
      <c r="C677" s="97"/>
      <c r="D677" s="68"/>
    </row>
    <row r="678" spans="1:4" ht="16.5" customHeight="1" x14ac:dyDescent="0.25">
      <c r="A678" s="96" t="s">
        <v>712</v>
      </c>
      <c r="B678" s="68"/>
      <c r="C678" s="97"/>
      <c r="D678" s="68"/>
    </row>
    <row r="679" spans="1:4" ht="16.5" customHeight="1" x14ac:dyDescent="0.25">
      <c r="A679" s="96" t="s">
        <v>713</v>
      </c>
      <c r="B679" s="68"/>
      <c r="C679" s="97"/>
      <c r="D679" s="68"/>
    </row>
    <row r="680" spans="1:4" ht="16.5" customHeight="1" x14ac:dyDescent="0.25">
      <c r="A680" s="96" t="s">
        <v>714</v>
      </c>
      <c r="B680" s="68"/>
      <c r="C680" s="97"/>
      <c r="D680" s="68"/>
    </row>
    <row r="681" spans="1:4" ht="16.5" customHeight="1" x14ac:dyDescent="0.25">
      <c r="A681" s="96" t="s">
        <v>715</v>
      </c>
      <c r="B681" s="68"/>
      <c r="C681" s="97"/>
      <c r="D681" s="68"/>
    </row>
    <row r="682" spans="1:4" ht="16.5" customHeight="1" x14ac:dyDescent="0.25">
      <c r="A682" s="99" t="s">
        <v>716</v>
      </c>
      <c r="B682" s="68"/>
      <c r="C682" s="97"/>
      <c r="D682" s="68"/>
    </row>
    <row r="683" spans="1:4" ht="16.5" customHeight="1" x14ac:dyDescent="0.25">
      <c r="A683" s="96" t="s">
        <v>717</v>
      </c>
      <c r="B683" s="68"/>
      <c r="C683" s="97"/>
      <c r="D683" s="68"/>
    </row>
    <row r="684" spans="1:4" ht="16.5" customHeight="1" x14ac:dyDescent="0.25">
      <c r="A684" s="96" t="s">
        <v>718</v>
      </c>
      <c r="B684" s="68"/>
      <c r="C684" s="97"/>
      <c r="D684" s="68"/>
    </row>
    <row r="685" spans="1:4" ht="16.5" customHeight="1" x14ac:dyDescent="0.25">
      <c r="A685" s="96" t="s">
        <v>719</v>
      </c>
      <c r="B685" s="68"/>
      <c r="C685" s="97"/>
      <c r="D685" s="68"/>
    </row>
    <row r="686" spans="1:4" ht="16.5" customHeight="1" x14ac:dyDescent="0.25">
      <c r="A686" s="96" t="s">
        <v>720</v>
      </c>
      <c r="B686" s="68"/>
      <c r="C686" s="97"/>
      <c r="D686" s="68"/>
    </row>
    <row r="687" spans="1:4" ht="16.5" customHeight="1" x14ac:dyDescent="0.25">
      <c r="A687" s="96" t="s">
        <v>1043</v>
      </c>
      <c r="B687" s="68"/>
      <c r="C687" s="97"/>
      <c r="D687" s="68"/>
    </row>
    <row r="688" spans="1:4" ht="16.5" customHeight="1" x14ac:dyDescent="0.25">
      <c r="A688" s="96" t="s">
        <v>721</v>
      </c>
      <c r="B688" s="68"/>
      <c r="C688" s="97"/>
      <c r="D688" s="68"/>
    </row>
    <row r="689" spans="1:4" ht="16.5" customHeight="1" x14ac:dyDescent="0.25">
      <c r="A689" s="96" t="s">
        <v>722</v>
      </c>
      <c r="B689" s="68"/>
      <c r="C689" s="97"/>
      <c r="D689" s="68"/>
    </row>
    <row r="690" spans="1:4" ht="16.5" customHeight="1" x14ac:dyDescent="0.25">
      <c r="A690" s="96" t="s">
        <v>723</v>
      </c>
      <c r="B690" s="68"/>
      <c r="C690" s="97"/>
      <c r="D690" s="68"/>
    </row>
    <row r="691" spans="1:4" ht="16.5" customHeight="1" x14ac:dyDescent="0.25">
      <c r="A691" s="96" t="s">
        <v>724</v>
      </c>
      <c r="B691" s="68"/>
      <c r="C691" s="97"/>
      <c r="D691" s="68"/>
    </row>
    <row r="692" spans="1:4" ht="16.5" customHeight="1" x14ac:dyDescent="0.25">
      <c r="A692" s="96" t="s">
        <v>725</v>
      </c>
      <c r="B692" s="68"/>
      <c r="C692" s="97"/>
      <c r="D692" s="68"/>
    </row>
    <row r="693" spans="1:4" ht="16.5" customHeight="1" x14ac:dyDescent="0.25">
      <c r="A693" s="96" t="s">
        <v>726</v>
      </c>
      <c r="B693" s="68"/>
      <c r="C693" s="97"/>
      <c r="D693" s="68"/>
    </row>
    <row r="694" spans="1:4" ht="16.5" customHeight="1" x14ac:dyDescent="0.25">
      <c r="A694" s="99" t="s">
        <v>727</v>
      </c>
      <c r="B694" s="68"/>
      <c r="C694" s="97"/>
      <c r="D694" s="68"/>
    </row>
    <row r="695" spans="1:4" ht="16.5" customHeight="1" x14ac:dyDescent="0.25">
      <c r="A695" s="96" t="s">
        <v>728</v>
      </c>
      <c r="B695" s="68"/>
      <c r="C695" s="97"/>
      <c r="D695" s="68"/>
    </row>
    <row r="696" spans="1:4" ht="16.5" customHeight="1" x14ac:dyDescent="0.25">
      <c r="A696" s="96" t="s">
        <v>729</v>
      </c>
      <c r="B696" s="68"/>
      <c r="C696" s="97"/>
      <c r="D696" s="68"/>
    </row>
    <row r="697" spans="1:4" ht="16.5" customHeight="1" x14ac:dyDescent="0.25">
      <c r="A697" s="96" t="s">
        <v>730</v>
      </c>
      <c r="B697" s="68"/>
      <c r="C697" s="97"/>
      <c r="D697" s="68"/>
    </row>
    <row r="698" spans="1:4" ht="16.5" customHeight="1" x14ac:dyDescent="0.25">
      <c r="A698" s="96" t="s">
        <v>731</v>
      </c>
      <c r="B698" s="68"/>
      <c r="C698" s="97"/>
      <c r="D698" s="68"/>
    </row>
    <row r="699" spans="1:4" ht="16.5" customHeight="1" x14ac:dyDescent="0.25">
      <c r="A699" s="96" t="s">
        <v>732</v>
      </c>
      <c r="B699" s="68"/>
      <c r="C699" s="97"/>
      <c r="D699" s="68"/>
    </row>
    <row r="700" spans="1:4" ht="16.5" customHeight="1" x14ac:dyDescent="0.25">
      <c r="A700" s="96" t="s">
        <v>733</v>
      </c>
      <c r="B700" s="68"/>
      <c r="C700" s="97"/>
      <c r="D700" s="68"/>
    </row>
    <row r="701" spans="1:4" ht="16.5" customHeight="1" x14ac:dyDescent="0.25">
      <c r="A701" s="96" t="s">
        <v>734</v>
      </c>
      <c r="B701" s="68"/>
      <c r="C701" s="97"/>
      <c r="D701" s="68"/>
    </row>
    <row r="702" spans="1:4" ht="16.5" customHeight="1" x14ac:dyDescent="0.25">
      <c r="A702" s="96" t="s">
        <v>735</v>
      </c>
      <c r="B702" s="68"/>
      <c r="C702" s="97"/>
      <c r="D702" s="68"/>
    </row>
    <row r="703" spans="1:4" ht="16.5" customHeight="1" x14ac:dyDescent="0.25">
      <c r="A703" s="96" t="s">
        <v>736</v>
      </c>
      <c r="B703" s="68"/>
      <c r="C703" s="97"/>
      <c r="D703" s="68"/>
    </row>
    <row r="704" spans="1:4" ht="16.5" customHeight="1" x14ac:dyDescent="0.25">
      <c r="A704" s="98" t="s">
        <v>737</v>
      </c>
      <c r="B704" s="68"/>
      <c r="C704" s="97"/>
      <c r="D704" s="68"/>
    </row>
    <row r="705" spans="1:4" ht="16.5" customHeight="1" x14ac:dyDescent="0.25">
      <c r="A705" s="99" t="s">
        <v>738</v>
      </c>
      <c r="B705" s="68"/>
      <c r="C705" s="97"/>
      <c r="D705" s="68"/>
    </row>
    <row r="706" spans="1:4" ht="16.5" customHeight="1" x14ac:dyDescent="0.25">
      <c r="A706" s="98" t="s">
        <v>739</v>
      </c>
      <c r="B706" s="68"/>
      <c r="C706" s="97"/>
      <c r="D706" s="68"/>
    </row>
    <row r="707" spans="1:4" ht="16.5" customHeight="1" x14ac:dyDescent="0.25">
      <c r="A707" s="98" t="s">
        <v>740</v>
      </c>
      <c r="B707" s="68"/>
      <c r="C707" s="97"/>
      <c r="D707" s="68"/>
    </row>
    <row r="708" spans="1:4" ht="16.5" customHeight="1" x14ac:dyDescent="0.25">
      <c r="A708" s="98" t="s">
        <v>741</v>
      </c>
      <c r="B708" s="68"/>
      <c r="C708" s="97"/>
      <c r="D708" s="68"/>
    </row>
    <row r="709" spans="1:4" ht="16.5" customHeight="1" x14ac:dyDescent="0.25">
      <c r="A709" s="96" t="s">
        <v>742</v>
      </c>
      <c r="B709" s="68"/>
      <c r="C709" s="97"/>
      <c r="D709" s="68"/>
    </row>
    <row r="710" spans="1:4" ht="16.5" customHeight="1" x14ac:dyDescent="0.25">
      <c r="A710" s="96" t="s">
        <v>743</v>
      </c>
      <c r="B710" s="68"/>
      <c r="C710" s="97"/>
      <c r="D710" s="68"/>
    </row>
    <row r="711" spans="1:4" ht="16.5" customHeight="1" x14ac:dyDescent="0.25">
      <c r="A711" s="96" t="s">
        <v>744</v>
      </c>
      <c r="B711" s="68"/>
      <c r="C711" s="97"/>
      <c r="D711" s="68"/>
    </row>
    <row r="712" spans="1:4" ht="16.5" customHeight="1" x14ac:dyDescent="0.25">
      <c r="A712" s="96" t="s">
        <v>745</v>
      </c>
      <c r="B712" s="68"/>
      <c r="C712" s="97"/>
      <c r="D712" s="68"/>
    </row>
    <row r="713" spans="1:4" ht="16.5" customHeight="1" x14ac:dyDescent="0.25">
      <c r="A713" s="96" t="s">
        <v>746</v>
      </c>
      <c r="B713" s="68"/>
      <c r="C713" s="97"/>
      <c r="D713" s="68"/>
    </row>
    <row r="714" spans="1:4" ht="16.5" customHeight="1" x14ac:dyDescent="0.25">
      <c r="A714" s="96" t="s">
        <v>747</v>
      </c>
      <c r="B714" s="68"/>
      <c r="C714" s="97"/>
      <c r="D714" s="68"/>
    </row>
    <row r="715" spans="1:4" ht="16.5" customHeight="1" x14ac:dyDescent="0.25">
      <c r="A715" s="96" t="s">
        <v>748</v>
      </c>
      <c r="B715" s="68"/>
      <c r="C715" s="97"/>
      <c r="D715" s="68"/>
    </row>
    <row r="716" spans="1:4" ht="16.5" customHeight="1" x14ac:dyDescent="0.25">
      <c r="A716" s="98" t="s">
        <v>43</v>
      </c>
      <c r="B716" s="68"/>
      <c r="C716" s="97"/>
      <c r="D716" s="68"/>
    </row>
    <row r="717" spans="1:4" ht="16.5" customHeight="1" x14ac:dyDescent="0.25">
      <c r="A717" s="96" t="s">
        <v>749</v>
      </c>
      <c r="B717" s="68"/>
      <c r="C717" s="97"/>
      <c r="D717" s="68"/>
    </row>
    <row r="718" spans="1:4" ht="16.5" customHeight="1" x14ac:dyDescent="0.25">
      <c r="A718" s="96" t="s">
        <v>750</v>
      </c>
      <c r="B718" s="68"/>
      <c r="C718" s="97"/>
      <c r="D718" s="68"/>
    </row>
    <row r="719" spans="1:4" ht="16.5" customHeight="1" x14ac:dyDescent="0.25">
      <c r="A719" s="96" t="s">
        <v>751</v>
      </c>
      <c r="B719" s="68"/>
      <c r="C719" s="97"/>
      <c r="D719" s="68"/>
    </row>
    <row r="720" spans="1:4" ht="16.5" customHeight="1" x14ac:dyDescent="0.25">
      <c r="A720" s="96" t="s">
        <v>752</v>
      </c>
      <c r="B720" s="68"/>
      <c r="C720" s="97"/>
      <c r="D720" s="68"/>
    </row>
    <row r="721" spans="1:4" ht="16.5" customHeight="1" x14ac:dyDescent="0.25">
      <c r="A721" s="96" t="s">
        <v>753</v>
      </c>
      <c r="B721" s="68"/>
      <c r="C721" s="97"/>
      <c r="D721" s="68"/>
    </row>
    <row r="722" spans="1:4" ht="16.5" customHeight="1" x14ac:dyDescent="0.25">
      <c r="A722" s="99" t="s">
        <v>754</v>
      </c>
      <c r="B722" s="68"/>
      <c r="C722" s="97"/>
      <c r="D722" s="68"/>
    </row>
    <row r="723" spans="1:4" ht="16.5" customHeight="1" x14ac:dyDescent="0.25">
      <c r="A723" s="96" t="s">
        <v>755</v>
      </c>
      <c r="B723" s="68"/>
      <c r="C723" s="97"/>
      <c r="D723" s="68"/>
    </row>
    <row r="724" spans="1:4" ht="16.5" customHeight="1" x14ac:dyDescent="0.25">
      <c r="A724" s="98" t="s">
        <v>756</v>
      </c>
      <c r="B724" s="68"/>
      <c r="C724" s="97"/>
      <c r="D724" s="68"/>
    </row>
    <row r="725" spans="1:4" ht="16.5" customHeight="1" x14ac:dyDescent="0.25">
      <c r="A725" s="101" t="s">
        <v>757</v>
      </c>
      <c r="B725" s="68"/>
      <c r="C725" s="97"/>
      <c r="D725" s="68"/>
    </row>
    <row r="726" spans="1:4" ht="16.5" customHeight="1" x14ac:dyDescent="0.25">
      <c r="A726" s="96" t="s">
        <v>758</v>
      </c>
      <c r="B726" s="68"/>
      <c r="C726" s="97"/>
      <c r="D726" s="68"/>
    </row>
    <row r="727" spans="1:4" ht="16.5" customHeight="1" x14ac:dyDescent="0.25">
      <c r="A727" s="96" t="s">
        <v>759</v>
      </c>
      <c r="B727" s="68"/>
      <c r="C727" s="97"/>
      <c r="D727" s="68"/>
    </row>
    <row r="728" spans="1:4" ht="16.5" customHeight="1" x14ac:dyDescent="0.25">
      <c r="A728" s="96" t="s">
        <v>760</v>
      </c>
      <c r="B728" s="68"/>
      <c r="C728" s="97"/>
      <c r="D728" s="68"/>
    </row>
    <row r="729" spans="1:4" ht="16.5" customHeight="1" x14ac:dyDescent="0.25">
      <c r="A729" s="96" t="s">
        <v>761</v>
      </c>
      <c r="B729" s="68"/>
      <c r="C729" s="97"/>
      <c r="D729" s="68"/>
    </row>
    <row r="730" spans="1:4" ht="16.5" customHeight="1" x14ac:dyDescent="0.25">
      <c r="A730" s="96" t="s">
        <v>762</v>
      </c>
      <c r="B730" s="68"/>
      <c r="C730" s="97"/>
      <c r="D730" s="68"/>
    </row>
    <row r="731" spans="1:4" ht="16.5" customHeight="1" x14ac:dyDescent="0.25">
      <c r="A731" s="98" t="s">
        <v>763</v>
      </c>
      <c r="B731" s="68"/>
      <c r="C731" s="97"/>
      <c r="D731" s="68"/>
    </row>
    <row r="732" spans="1:4" ht="16.5" customHeight="1" x14ac:dyDescent="0.25">
      <c r="A732" s="96" t="s">
        <v>764</v>
      </c>
      <c r="B732" s="68"/>
      <c r="C732" s="97"/>
      <c r="D732" s="68"/>
    </row>
    <row r="733" spans="1:4" ht="16.5" customHeight="1" x14ac:dyDescent="0.25">
      <c r="A733" s="96" t="s">
        <v>765</v>
      </c>
      <c r="B733" s="68"/>
      <c r="C733" s="97"/>
      <c r="D733" s="68"/>
    </row>
    <row r="734" spans="1:4" ht="16.5" customHeight="1" x14ac:dyDescent="0.25">
      <c r="A734" s="98" t="s">
        <v>766</v>
      </c>
      <c r="B734" s="68"/>
      <c r="C734" s="97"/>
      <c r="D734" s="68"/>
    </row>
    <row r="735" spans="1:4" ht="16.5" customHeight="1" x14ac:dyDescent="0.25">
      <c r="A735" s="98" t="s">
        <v>767</v>
      </c>
      <c r="B735" s="68"/>
      <c r="C735" s="97"/>
      <c r="D735" s="68"/>
    </row>
    <row r="736" spans="1:4" ht="16.5" customHeight="1" x14ac:dyDescent="0.25">
      <c r="A736" s="96" t="s">
        <v>768</v>
      </c>
      <c r="B736" s="68"/>
      <c r="C736" s="97"/>
      <c r="D736" s="68"/>
    </row>
    <row r="737" spans="1:4" ht="16.5" customHeight="1" x14ac:dyDescent="0.25">
      <c r="A737" s="96" t="s">
        <v>769</v>
      </c>
      <c r="B737" s="68"/>
      <c r="C737" s="97"/>
      <c r="D737" s="68"/>
    </row>
    <row r="738" spans="1:4" ht="16.5" customHeight="1" x14ac:dyDescent="0.25">
      <c r="A738" s="96" t="s">
        <v>770</v>
      </c>
      <c r="B738" s="68"/>
      <c r="C738" s="97"/>
      <c r="D738" s="68"/>
    </row>
    <row r="739" spans="1:4" ht="16.5" customHeight="1" x14ac:dyDescent="0.25">
      <c r="A739" s="96" t="s">
        <v>771</v>
      </c>
      <c r="B739" s="68"/>
      <c r="C739" s="97"/>
      <c r="D739" s="68"/>
    </row>
    <row r="740" spans="1:4" ht="16.5" customHeight="1" x14ac:dyDescent="0.25">
      <c r="A740" s="99" t="s">
        <v>772</v>
      </c>
      <c r="B740" s="68"/>
      <c r="C740" s="97"/>
      <c r="D740" s="68"/>
    </row>
    <row r="741" spans="1:4" ht="16.5" customHeight="1" x14ac:dyDescent="0.25">
      <c r="A741" s="96" t="s">
        <v>773</v>
      </c>
      <c r="B741" s="68"/>
      <c r="C741" s="97"/>
      <c r="D741" s="68"/>
    </row>
    <row r="742" spans="1:4" ht="16.5" customHeight="1" x14ac:dyDescent="0.25">
      <c r="A742" s="96" t="s">
        <v>774</v>
      </c>
      <c r="B742" s="68"/>
      <c r="C742" s="97"/>
      <c r="D742" s="68"/>
    </row>
    <row r="743" spans="1:4" ht="16.5" customHeight="1" x14ac:dyDescent="0.25">
      <c r="A743" s="96" t="s">
        <v>775</v>
      </c>
      <c r="B743" s="68"/>
      <c r="C743" s="97"/>
      <c r="D743" s="68"/>
    </row>
    <row r="744" spans="1:4" ht="16.5" customHeight="1" x14ac:dyDescent="0.25">
      <c r="A744" s="96" t="s">
        <v>776</v>
      </c>
      <c r="B744" s="68"/>
      <c r="C744" s="97"/>
      <c r="D744" s="68"/>
    </row>
    <row r="745" spans="1:4" ht="16.5" customHeight="1" x14ac:dyDescent="0.25">
      <c r="A745" s="96" t="s">
        <v>777</v>
      </c>
      <c r="B745" s="68"/>
      <c r="C745" s="97"/>
      <c r="D745" s="68"/>
    </row>
    <row r="746" spans="1:4" ht="16.5" customHeight="1" x14ac:dyDescent="0.25">
      <c r="A746" s="96" t="s">
        <v>778</v>
      </c>
      <c r="B746" s="68"/>
      <c r="C746" s="97"/>
      <c r="D746" s="68"/>
    </row>
    <row r="747" spans="1:4" ht="16.5" customHeight="1" x14ac:dyDescent="0.25">
      <c r="A747" s="96" t="s">
        <v>779</v>
      </c>
      <c r="B747" s="68"/>
      <c r="C747" s="97"/>
      <c r="D747" s="68"/>
    </row>
    <row r="748" spans="1:4" ht="16.5" customHeight="1" x14ac:dyDescent="0.25">
      <c r="A748" s="96" t="s">
        <v>780</v>
      </c>
      <c r="B748" s="68"/>
      <c r="C748" s="97"/>
      <c r="D748" s="68"/>
    </row>
    <row r="749" spans="1:4" ht="16.5" customHeight="1" x14ac:dyDescent="0.25">
      <c r="A749" s="96" t="s">
        <v>781</v>
      </c>
      <c r="B749" s="68"/>
      <c r="C749" s="97"/>
      <c r="D749" s="68"/>
    </row>
    <row r="750" spans="1:4" ht="16.5" customHeight="1" x14ac:dyDescent="0.25">
      <c r="A750" s="99" t="s">
        <v>782</v>
      </c>
      <c r="B750" s="68"/>
      <c r="C750" s="97"/>
      <c r="D750" s="68"/>
    </row>
    <row r="751" spans="1:4" ht="16.5" customHeight="1" x14ac:dyDescent="0.25">
      <c r="A751" s="96" t="s">
        <v>783</v>
      </c>
      <c r="B751" s="68"/>
      <c r="C751" s="97"/>
      <c r="D751" s="68"/>
    </row>
    <row r="752" spans="1:4" ht="16.5" customHeight="1" x14ac:dyDescent="0.25">
      <c r="A752" s="99" t="s">
        <v>784</v>
      </c>
      <c r="B752" s="68"/>
      <c r="C752" s="97"/>
      <c r="D752" s="68"/>
    </row>
    <row r="753" spans="1:4" ht="16.5" customHeight="1" x14ac:dyDescent="0.25">
      <c r="A753" s="96" t="s">
        <v>785</v>
      </c>
      <c r="B753" s="68"/>
      <c r="C753" s="97"/>
      <c r="D753" s="68"/>
    </row>
    <row r="754" spans="1:4" ht="16.5" customHeight="1" x14ac:dyDescent="0.25">
      <c r="A754" s="96" t="s">
        <v>786</v>
      </c>
      <c r="B754" s="68"/>
      <c r="C754" s="97"/>
      <c r="D754" s="68"/>
    </row>
    <row r="755" spans="1:4" ht="16.5" customHeight="1" x14ac:dyDescent="0.25">
      <c r="A755" s="96" t="s">
        <v>787</v>
      </c>
      <c r="B755" s="68"/>
      <c r="C755" s="97"/>
      <c r="D755" s="68"/>
    </row>
    <row r="756" spans="1:4" ht="16.5" customHeight="1" x14ac:dyDescent="0.25">
      <c r="A756" s="99" t="s">
        <v>788</v>
      </c>
      <c r="B756" s="68"/>
      <c r="C756" s="97"/>
      <c r="D756" s="68"/>
    </row>
    <row r="757" spans="1:4" ht="16.5" customHeight="1" x14ac:dyDescent="0.25">
      <c r="A757" s="101" t="s">
        <v>789</v>
      </c>
      <c r="B757" s="68"/>
      <c r="C757" s="97"/>
      <c r="D757" s="68"/>
    </row>
    <row r="758" spans="1:4" ht="16.5" customHeight="1" x14ac:dyDescent="0.25">
      <c r="A758" s="101" t="s">
        <v>790</v>
      </c>
      <c r="B758" s="68"/>
      <c r="C758" s="97"/>
      <c r="D758" s="68"/>
    </row>
    <row r="759" spans="1:4" ht="16.5" customHeight="1" x14ac:dyDescent="0.25">
      <c r="A759" s="101" t="s">
        <v>791</v>
      </c>
      <c r="B759" s="68"/>
      <c r="C759" s="97"/>
      <c r="D759" s="68"/>
    </row>
    <row r="760" spans="1:4" ht="16.5" customHeight="1" x14ac:dyDescent="0.25">
      <c r="A760" s="99" t="s">
        <v>792</v>
      </c>
      <c r="B760" s="68"/>
      <c r="C760" s="97"/>
      <c r="D760" s="68"/>
    </row>
    <row r="761" spans="1:4" ht="16.5" customHeight="1" x14ac:dyDescent="0.25">
      <c r="A761" s="96" t="s">
        <v>793</v>
      </c>
      <c r="B761" s="68"/>
      <c r="C761" s="97"/>
      <c r="D761" s="68"/>
    </row>
    <row r="762" spans="1:4" ht="16.5" customHeight="1" x14ac:dyDescent="0.25">
      <c r="A762" s="96" t="s">
        <v>794</v>
      </c>
      <c r="B762" s="68"/>
      <c r="C762" s="97"/>
      <c r="D762" s="68"/>
    </row>
    <row r="763" spans="1:4" ht="16.5" customHeight="1" x14ac:dyDescent="0.25">
      <c r="A763" s="96" t="s">
        <v>795</v>
      </c>
      <c r="B763" s="68"/>
      <c r="C763" s="97"/>
      <c r="D763" s="68"/>
    </row>
    <row r="764" spans="1:4" ht="16.5" customHeight="1" x14ac:dyDescent="0.25">
      <c r="A764" s="96" t="s">
        <v>796</v>
      </c>
      <c r="B764" s="68"/>
      <c r="C764" s="97"/>
      <c r="D764" s="68"/>
    </row>
    <row r="765" spans="1:4" ht="16.5" customHeight="1" x14ac:dyDescent="0.25">
      <c r="A765" s="96" t="s">
        <v>797</v>
      </c>
      <c r="B765" s="68"/>
      <c r="C765" s="97"/>
      <c r="D765" s="68"/>
    </row>
    <row r="766" spans="1:4" ht="16.5" customHeight="1" x14ac:dyDescent="0.25">
      <c r="A766" s="96" t="s">
        <v>798</v>
      </c>
      <c r="B766" s="68"/>
      <c r="C766" s="97"/>
      <c r="D766" s="68"/>
    </row>
    <row r="767" spans="1:4" ht="16.5" customHeight="1" x14ac:dyDescent="0.25">
      <c r="A767" s="99" t="s">
        <v>799</v>
      </c>
      <c r="B767" s="68"/>
      <c r="C767" s="97"/>
      <c r="D767" s="68"/>
    </row>
    <row r="768" spans="1:4" ht="16.5" customHeight="1" x14ac:dyDescent="0.25">
      <c r="A768" s="96" t="s">
        <v>800</v>
      </c>
      <c r="B768" s="68"/>
      <c r="C768" s="97"/>
      <c r="D768" s="68"/>
    </row>
    <row r="769" spans="1:4" ht="16.5" customHeight="1" x14ac:dyDescent="0.25">
      <c r="A769" s="98" t="s">
        <v>801</v>
      </c>
      <c r="B769" s="68"/>
      <c r="C769" s="97"/>
      <c r="D769" s="68"/>
    </row>
    <row r="770" spans="1:4" ht="16.5" customHeight="1" x14ac:dyDescent="0.25">
      <c r="A770" s="96" t="s">
        <v>802</v>
      </c>
      <c r="B770" s="68"/>
      <c r="C770" s="97"/>
      <c r="D770" s="68"/>
    </row>
    <row r="771" spans="1:4" ht="16.5" customHeight="1" x14ac:dyDescent="0.25">
      <c r="A771" s="98" t="s">
        <v>803</v>
      </c>
      <c r="B771" s="68"/>
      <c r="C771" s="97"/>
      <c r="D771" s="68"/>
    </row>
    <row r="772" spans="1:4" ht="16.5" customHeight="1" x14ac:dyDescent="0.25">
      <c r="A772" s="96" t="s">
        <v>804</v>
      </c>
      <c r="B772" s="68"/>
      <c r="C772" s="97"/>
      <c r="D772" s="68"/>
    </row>
    <row r="773" spans="1:4" ht="16.5" customHeight="1" x14ac:dyDescent="0.25">
      <c r="A773" s="96" t="s">
        <v>805</v>
      </c>
      <c r="B773" s="68"/>
      <c r="C773" s="97"/>
      <c r="D773" s="68"/>
    </row>
    <row r="774" spans="1:4" ht="16.5" customHeight="1" x14ac:dyDescent="0.25">
      <c r="A774" s="98" t="s">
        <v>806</v>
      </c>
      <c r="B774" s="68"/>
      <c r="C774" s="97"/>
      <c r="D774" s="68"/>
    </row>
    <row r="775" spans="1:4" ht="16.5" customHeight="1" x14ac:dyDescent="0.25">
      <c r="A775" s="96" t="s">
        <v>807</v>
      </c>
      <c r="B775" s="68"/>
      <c r="C775" s="97"/>
      <c r="D775" s="68"/>
    </row>
    <row r="776" spans="1:4" ht="16.5" customHeight="1" x14ac:dyDescent="0.25">
      <c r="A776" s="96" t="s">
        <v>808</v>
      </c>
      <c r="B776" s="68"/>
      <c r="C776" s="97"/>
      <c r="D776" s="68"/>
    </row>
    <row r="777" spans="1:4" ht="16.5" customHeight="1" x14ac:dyDescent="0.25">
      <c r="A777" s="98" t="s">
        <v>809</v>
      </c>
      <c r="B777" s="68"/>
      <c r="C777" s="97"/>
      <c r="D777" s="68"/>
    </row>
    <row r="778" spans="1:4" ht="16.5" customHeight="1" x14ac:dyDescent="0.25">
      <c r="A778" s="96" t="s">
        <v>810</v>
      </c>
      <c r="B778" s="68"/>
      <c r="C778" s="97"/>
      <c r="D778" s="68"/>
    </row>
    <row r="779" spans="1:4" ht="16.5" customHeight="1" x14ac:dyDescent="0.25">
      <c r="A779" s="99" t="s">
        <v>811</v>
      </c>
      <c r="B779" s="68"/>
      <c r="C779" s="97"/>
      <c r="D779" s="68"/>
    </row>
    <row r="780" spans="1:4" ht="16.5" customHeight="1" x14ac:dyDescent="0.25">
      <c r="A780" s="96" t="s">
        <v>812</v>
      </c>
      <c r="B780" s="68"/>
      <c r="C780" s="97"/>
      <c r="D780" s="68"/>
    </row>
    <row r="781" spans="1:4" ht="16.5" customHeight="1" x14ac:dyDescent="0.25">
      <c r="A781" s="96" t="s">
        <v>813</v>
      </c>
      <c r="B781" s="68"/>
      <c r="C781" s="97"/>
      <c r="D781" s="68"/>
    </row>
    <row r="782" spans="1:4" ht="16.5" customHeight="1" x14ac:dyDescent="0.25">
      <c r="A782" s="98" t="s">
        <v>814</v>
      </c>
      <c r="B782" s="68"/>
      <c r="C782" s="97"/>
      <c r="D782" s="68"/>
    </row>
    <row r="783" spans="1:4" ht="16.5" customHeight="1" x14ac:dyDescent="0.25">
      <c r="A783" s="96" t="s">
        <v>815</v>
      </c>
      <c r="B783" s="68"/>
      <c r="C783" s="97"/>
      <c r="D783" s="68"/>
    </row>
    <row r="784" spans="1:4" ht="16.5" customHeight="1" x14ac:dyDescent="0.25">
      <c r="A784" s="96" t="s">
        <v>816</v>
      </c>
      <c r="B784" s="68"/>
      <c r="C784" s="97"/>
      <c r="D784" s="68"/>
    </row>
    <row r="785" spans="1:4" ht="16.5" customHeight="1" x14ac:dyDescent="0.25">
      <c r="A785" s="96" t="s">
        <v>817</v>
      </c>
      <c r="B785" s="68"/>
      <c r="C785" s="97"/>
      <c r="D785" s="68"/>
    </row>
    <row r="786" spans="1:4" ht="16.5" customHeight="1" x14ac:dyDescent="0.25">
      <c r="A786" s="96" t="s">
        <v>818</v>
      </c>
      <c r="B786" s="68"/>
      <c r="C786" s="97"/>
      <c r="D786" s="68"/>
    </row>
    <row r="787" spans="1:4" ht="16.5" customHeight="1" x14ac:dyDescent="0.25">
      <c r="A787" s="96" t="s">
        <v>819</v>
      </c>
      <c r="B787" s="68"/>
      <c r="C787" s="97"/>
      <c r="D787" s="68"/>
    </row>
    <row r="788" spans="1:4" ht="16.5" customHeight="1" x14ac:dyDescent="0.25">
      <c r="A788" s="98" t="s">
        <v>820</v>
      </c>
      <c r="B788" s="68"/>
      <c r="C788" s="97"/>
      <c r="D788" s="68"/>
    </row>
    <row r="789" spans="1:4" ht="16.5" customHeight="1" x14ac:dyDescent="0.25">
      <c r="A789" s="96" t="s">
        <v>821</v>
      </c>
      <c r="B789" s="68"/>
      <c r="C789" s="97"/>
      <c r="D789" s="68"/>
    </row>
    <row r="790" spans="1:4" ht="16.5" customHeight="1" x14ac:dyDescent="0.25">
      <c r="A790" s="96" t="s">
        <v>822</v>
      </c>
      <c r="B790" s="68"/>
      <c r="C790" s="97"/>
      <c r="D790" s="68"/>
    </row>
    <row r="791" spans="1:4" ht="16.5" customHeight="1" x14ac:dyDescent="0.25">
      <c r="A791" s="96" t="s">
        <v>823</v>
      </c>
      <c r="B791" s="68"/>
      <c r="C791" s="97"/>
      <c r="D791" s="68"/>
    </row>
    <row r="792" spans="1:4" ht="16.5" customHeight="1" x14ac:dyDescent="0.25">
      <c r="A792" s="96" t="s">
        <v>49</v>
      </c>
      <c r="B792" s="68"/>
      <c r="C792" s="97"/>
      <c r="D792" s="68"/>
    </row>
    <row r="793" spans="1:4" ht="16.5" customHeight="1" x14ac:dyDescent="0.25">
      <c r="A793" s="98" t="s">
        <v>824</v>
      </c>
      <c r="B793" s="68"/>
      <c r="C793" s="97"/>
      <c r="D793" s="68"/>
    </row>
    <row r="794" spans="1:4" ht="16.5" customHeight="1" x14ac:dyDescent="0.25">
      <c r="A794" s="99" t="s">
        <v>825</v>
      </c>
      <c r="B794" s="68"/>
      <c r="C794" s="97"/>
      <c r="D794" s="68"/>
    </row>
    <row r="795" spans="1:4" ht="16.5" customHeight="1" x14ac:dyDescent="0.25">
      <c r="A795" s="96" t="s">
        <v>826</v>
      </c>
      <c r="B795" s="68"/>
      <c r="C795" s="97"/>
      <c r="D795" s="68"/>
    </row>
    <row r="796" spans="1:4" ht="16.5" customHeight="1" x14ac:dyDescent="0.25">
      <c r="A796" s="96" t="s">
        <v>827</v>
      </c>
      <c r="B796" s="68"/>
      <c r="C796" s="97"/>
      <c r="D796" s="68"/>
    </row>
    <row r="797" spans="1:4" ht="16.5" customHeight="1" x14ac:dyDescent="0.25">
      <c r="A797" s="96" t="s">
        <v>828</v>
      </c>
      <c r="B797" s="68"/>
      <c r="C797" s="97"/>
      <c r="D797" s="68"/>
    </row>
    <row r="798" spans="1:4" ht="16.5" customHeight="1" x14ac:dyDescent="0.25">
      <c r="A798" s="98" t="s">
        <v>829</v>
      </c>
      <c r="B798" s="68"/>
      <c r="C798" s="97"/>
      <c r="D798" s="68"/>
    </row>
    <row r="799" spans="1:4" ht="16.5" customHeight="1" x14ac:dyDescent="0.25">
      <c r="A799" s="96" t="s">
        <v>830</v>
      </c>
      <c r="B799" s="68"/>
      <c r="C799" s="97"/>
      <c r="D799" s="68"/>
    </row>
    <row r="800" spans="1:4" ht="16.5" customHeight="1" x14ac:dyDescent="0.25">
      <c r="A800" s="96" t="s">
        <v>831</v>
      </c>
      <c r="B800" s="68"/>
      <c r="C800" s="97"/>
      <c r="D800" s="68"/>
    </row>
    <row r="801" spans="1:4" ht="16.5" customHeight="1" x14ac:dyDescent="0.25">
      <c r="A801" s="96" t="s">
        <v>832</v>
      </c>
      <c r="B801" s="68"/>
      <c r="C801" s="97"/>
      <c r="D801" s="68"/>
    </row>
    <row r="802" spans="1:4" ht="16.5" customHeight="1" x14ac:dyDescent="0.25">
      <c r="A802" s="96" t="s">
        <v>833</v>
      </c>
      <c r="B802" s="68"/>
      <c r="C802" s="97"/>
      <c r="D802" s="68"/>
    </row>
    <row r="803" spans="1:4" ht="16.5" customHeight="1" x14ac:dyDescent="0.25">
      <c r="A803" s="96" t="s">
        <v>834</v>
      </c>
      <c r="B803" s="68"/>
      <c r="C803" s="97"/>
      <c r="D803" s="68"/>
    </row>
    <row r="804" spans="1:4" ht="16.5" customHeight="1" x14ac:dyDescent="0.25">
      <c r="A804" s="96" t="s">
        <v>835</v>
      </c>
      <c r="B804" s="68"/>
      <c r="C804" s="97"/>
      <c r="D804" s="68"/>
    </row>
    <row r="805" spans="1:4" ht="16.5" customHeight="1" x14ac:dyDescent="0.25">
      <c r="A805" s="96" t="s">
        <v>836</v>
      </c>
      <c r="B805" s="68"/>
      <c r="C805" s="97"/>
      <c r="D805" s="68"/>
    </row>
    <row r="806" spans="1:4" ht="16.5" customHeight="1" x14ac:dyDescent="0.25">
      <c r="A806" s="96" t="s">
        <v>837</v>
      </c>
      <c r="B806" s="68"/>
      <c r="C806" s="97"/>
      <c r="D806" s="68"/>
    </row>
    <row r="807" spans="1:4" ht="16.5" customHeight="1" x14ac:dyDescent="0.25">
      <c r="A807" s="96" t="s">
        <v>838</v>
      </c>
      <c r="B807" s="68"/>
      <c r="C807" s="97"/>
      <c r="D807" s="68"/>
    </row>
    <row r="808" spans="1:4" ht="16.5" customHeight="1" x14ac:dyDescent="0.25">
      <c r="A808" s="96" t="s">
        <v>839</v>
      </c>
      <c r="B808" s="68"/>
      <c r="C808" s="97"/>
      <c r="D808" s="68"/>
    </row>
    <row r="809" spans="1:4" ht="16.5" customHeight="1" x14ac:dyDescent="0.25">
      <c r="A809" s="96" t="s">
        <v>840</v>
      </c>
      <c r="B809" s="68"/>
      <c r="C809" s="97"/>
      <c r="D809" s="68"/>
    </row>
    <row r="810" spans="1:4" ht="16.5" customHeight="1" x14ac:dyDescent="0.25">
      <c r="A810" s="96" t="s">
        <v>841</v>
      </c>
      <c r="B810" s="68"/>
      <c r="C810" s="97"/>
      <c r="D810" s="68"/>
    </row>
    <row r="811" spans="1:4" ht="16.5" customHeight="1" x14ac:dyDescent="0.25">
      <c r="A811" s="96" t="s">
        <v>842</v>
      </c>
      <c r="B811" s="68"/>
      <c r="C811" s="97"/>
      <c r="D811" s="68"/>
    </row>
    <row r="812" spans="1:4" ht="16.5" customHeight="1" x14ac:dyDescent="0.25">
      <c r="A812" s="96" t="s">
        <v>843</v>
      </c>
      <c r="B812" s="68"/>
      <c r="C812" s="97"/>
      <c r="D812" s="68"/>
    </row>
    <row r="813" spans="1:4" ht="16.5" customHeight="1" x14ac:dyDescent="0.25">
      <c r="A813" s="99" t="s">
        <v>844</v>
      </c>
      <c r="B813" s="68"/>
      <c r="C813" s="97"/>
      <c r="D813" s="68"/>
    </row>
    <row r="814" spans="1:4" ht="16.5" customHeight="1" x14ac:dyDescent="0.25">
      <c r="A814" s="96" t="s">
        <v>845</v>
      </c>
      <c r="B814" s="68"/>
      <c r="C814" s="97"/>
      <c r="D814" s="68"/>
    </row>
    <row r="815" spans="1:4" ht="16.5" customHeight="1" x14ac:dyDescent="0.25">
      <c r="A815" s="96" t="s">
        <v>846</v>
      </c>
      <c r="B815" s="68"/>
      <c r="C815" s="97"/>
      <c r="D815" s="68"/>
    </row>
    <row r="816" spans="1:4" ht="16.5" customHeight="1" x14ac:dyDescent="0.25">
      <c r="A816" s="96" t="s">
        <v>847</v>
      </c>
      <c r="B816" s="68"/>
      <c r="C816" s="97"/>
      <c r="D816" s="68"/>
    </row>
    <row r="817" spans="1:4" ht="16.5" customHeight="1" x14ac:dyDescent="0.25">
      <c r="A817" s="98" t="s">
        <v>848</v>
      </c>
      <c r="B817" s="68"/>
      <c r="C817" s="97"/>
      <c r="D817" s="68"/>
    </row>
    <row r="818" spans="1:4" ht="16.5" customHeight="1" x14ac:dyDescent="0.25">
      <c r="A818" s="99" t="s">
        <v>849</v>
      </c>
      <c r="B818" s="68"/>
      <c r="C818" s="97"/>
      <c r="D818" s="68"/>
    </row>
    <row r="819" spans="1:4" ht="16.5" customHeight="1" x14ac:dyDescent="0.25">
      <c r="A819" s="96" t="s">
        <v>850</v>
      </c>
      <c r="B819" s="68"/>
      <c r="C819" s="97"/>
      <c r="D819" s="68"/>
    </row>
    <row r="820" spans="1:4" ht="16.5" customHeight="1" x14ac:dyDescent="0.25">
      <c r="A820" s="96" t="s">
        <v>851</v>
      </c>
      <c r="B820" s="68"/>
      <c r="C820" s="97"/>
      <c r="D820" s="68"/>
    </row>
    <row r="821" spans="1:4" ht="16.5" customHeight="1" x14ac:dyDescent="0.25">
      <c r="A821" s="96" t="s">
        <v>852</v>
      </c>
      <c r="B821" s="68"/>
      <c r="C821" s="97"/>
      <c r="D821" s="68"/>
    </row>
    <row r="822" spans="1:4" ht="16.5" customHeight="1" x14ac:dyDescent="0.25">
      <c r="A822" s="96" t="s">
        <v>853</v>
      </c>
      <c r="B822" s="68"/>
      <c r="C822" s="97"/>
      <c r="D822" s="68"/>
    </row>
    <row r="823" spans="1:4" ht="16.5" customHeight="1" x14ac:dyDescent="0.25">
      <c r="A823" s="96" t="s">
        <v>854</v>
      </c>
      <c r="B823" s="68"/>
      <c r="C823" s="97"/>
      <c r="D823" s="68"/>
    </row>
    <row r="824" spans="1:4" ht="16.5" customHeight="1" x14ac:dyDescent="0.25">
      <c r="A824" s="96" t="s">
        <v>855</v>
      </c>
      <c r="B824" s="68"/>
      <c r="C824" s="97"/>
      <c r="D824" s="68"/>
    </row>
    <row r="825" spans="1:4" ht="16.5" customHeight="1" x14ac:dyDescent="0.25">
      <c r="A825" s="96" t="s">
        <v>856</v>
      </c>
      <c r="B825" s="68"/>
      <c r="C825" s="97"/>
      <c r="D825" s="68"/>
    </row>
    <row r="826" spans="1:4" ht="16.5" customHeight="1" x14ac:dyDescent="0.25">
      <c r="A826" s="96" t="s">
        <v>857</v>
      </c>
      <c r="B826" s="68"/>
      <c r="C826" s="97"/>
      <c r="D826" s="68"/>
    </row>
    <row r="827" spans="1:4" ht="16.5" customHeight="1" x14ac:dyDescent="0.25">
      <c r="A827" s="98" t="s">
        <v>858</v>
      </c>
      <c r="B827" s="68"/>
      <c r="C827" s="97"/>
      <c r="D827" s="68"/>
    </row>
    <row r="828" spans="1:4" ht="16.5" customHeight="1" x14ac:dyDescent="0.25">
      <c r="A828" s="96" t="s">
        <v>859</v>
      </c>
      <c r="B828" s="68"/>
      <c r="C828" s="97"/>
      <c r="D828" s="68"/>
    </row>
    <row r="829" spans="1:4" ht="16.5" customHeight="1" x14ac:dyDescent="0.25">
      <c r="A829" s="96" t="s">
        <v>860</v>
      </c>
      <c r="B829" s="68"/>
      <c r="C829" s="97"/>
      <c r="D829" s="68"/>
    </row>
    <row r="830" spans="1:4" ht="16.5" customHeight="1" x14ac:dyDescent="0.25">
      <c r="A830" s="96" t="s">
        <v>861</v>
      </c>
      <c r="B830" s="68"/>
      <c r="C830" s="97"/>
      <c r="D830" s="68"/>
    </row>
    <row r="831" spans="1:4" ht="16.5" customHeight="1" x14ac:dyDescent="0.25">
      <c r="A831" s="96" t="s">
        <v>862</v>
      </c>
      <c r="B831" s="68"/>
      <c r="C831" s="97"/>
      <c r="D831" s="68"/>
    </row>
    <row r="832" spans="1:4" ht="16.5" customHeight="1" x14ac:dyDescent="0.25">
      <c r="A832" s="96" t="s">
        <v>863</v>
      </c>
      <c r="B832" s="68"/>
      <c r="C832" s="97"/>
      <c r="D832" s="68"/>
    </row>
    <row r="833" spans="1:4" ht="16.5" customHeight="1" x14ac:dyDescent="0.25">
      <c r="A833" s="96" t="s">
        <v>864</v>
      </c>
      <c r="B833" s="68"/>
      <c r="C833" s="97"/>
      <c r="D833" s="68"/>
    </row>
    <row r="834" spans="1:4" ht="16.5" customHeight="1" x14ac:dyDescent="0.25">
      <c r="A834" s="96" t="s">
        <v>865</v>
      </c>
      <c r="B834" s="68"/>
      <c r="C834" s="97"/>
      <c r="D834" s="68"/>
    </row>
    <row r="835" spans="1:4" ht="16.5" customHeight="1" x14ac:dyDescent="0.25">
      <c r="A835" s="96" t="s">
        <v>866</v>
      </c>
      <c r="B835" s="68"/>
      <c r="C835" s="97"/>
      <c r="D835" s="68"/>
    </row>
    <row r="836" spans="1:4" ht="16.5" customHeight="1" x14ac:dyDescent="0.25">
      <c r="A836" s="96" t="s">
        <v>867</v>
      </c>
      <c r="B836" s="68"/>
      <c r="C836" s="97"/>
      <c r="D836" s="68"/>
    </row>
    <row r="837" spans="1:4" ht="16.5" customHeight="1" x14ac:dyDescent="0.25">
      <c r="A837" s="96" t="s">
        <v>868</v>
      </c>
      <c r="B837" s="68"/>
      <c r="C837" s="97"/>
      <c r="D837" s="68"/>
    </row>
    <row r="838" spans="1:4" ht="16.5" customHeight="1" x14ac:dyDescent="0.25">
      <c r="A838" s="101" t="s">
        <v>869</v>
      </c>
      <c r="B838" s="68"/>
      <c r="C838" s="97"/>
      <c r="D838" s="68"/>
    </row>
    <row r="839" spans="1:4" ht="16.5" customHeight="1" x14ac:dyDescent="0.25">
      <c r="A839" s="96" t="s">
        <v>870</v>
      </c>
      <c r="B839" s="68"/>
      <c r="C839" s="97"/>
      <c r="D839" s="68"/>
    </row>
    <row r="840" spans="1:4" ht="16.5" customHeight="1" x14ac:dyDescent="0.25">
      <c r="A840" s="96" t="s">
        <v>871</v>
      </c>
      <c r="B840" s="68"/>
      <c r="C840" s="97"/>
      <c r="D840" s="68"/>
    </row>
    <row r="841" spans="1:4" ht="16.5" customHeight="1" x14ac:dyDescent="0.25">
      <c r="A841" s="99" t="s">
        <v>872</v>
      </c>
      <c r="B841" s="68"/>
      <c r="C841" s="97"/>
      <c r="D841" s="68"/>
    </row>
    <row r="842" spans="1:4" ht="16.5" customHeight="1" x14ac:dyDescent="0.25">
      <c r="A842" s="96" t="s">
        <v>873</v>
      </c>
      <c r="B842" s="68"/>
      <c r="C842" s="97"/>
      <c r="D842" s="68"/>
    </row>
    <row r="843" spans="1:4" ht="16.5" customHeight="1" x14ac:dyDescent="0.25">
      <c r="A843" s="96" t="s">
        <v>874</v>
      </c>
      <c r="B843" s="68"/>
      <c r="C843" s="97"/>
      <c r="D843" s="68"/>
    </row>
    <row r="844" spans="1:4" ht="16.5" customHeight="1" x14ac:dyDescent="0.25">
      <c r="A844" s="96" t="s">
        <v>1042</v>
      </c>
      <c r="B844" s="68"/>
      <c r="C844" s="97"/>
      <c r="D844" s="68"/>
    </row>
    <row r="845" spans="1:4" ht="16.5" customHeight="1" x14ac:dyDescent="0.25">
      <c r="A845" s="96" t="s">
        <v>875</v>
      </c>
      <c r="B845" s="68"/>
      <c r="C845" s="97"/>
      <c r="D845" s="68"/>
    </row>
    <row r="846" spans="1:4" ht="16.5" customHeight="1" x14ac:dyDescent="0.25">
      <c r="A846" s="96" t="s">
        <v>876</v>
      </c>
      <c r="B846" s="68"/>
      <c r="C846" s="97"/>
      <c r="D846" s="68"/>
    </row>
    <row r="847" spans="1:4" ht="16.5" customHeight="1" x14ac:dyDescent="0.25">
      <c r="A847" s="96" t="s">
        <v>877</v>
      </c>
      <c r="B847" s="68"/>
      <c r="C847" s="97"/>
      <c r="D847" s="68"/>
    </row>
    <row r="848" spans="1:4" ht="16.5" customHeight="1" x14ac:dyDescent="0.25">
      <c r="A848" s="96" t="s">
        <v>878</v>
      </c>
      <c r="B848" s="68"/>
      <c r="C848" s="97"/>
      <c r="D848" s="68"/>
    </row>
    <row r="849" spans="1:4" ht="16.5" customHeight="1" x14ac:dyDescent="0.25">
      <c r="A849" s="96" t="s">
        <v>879</v>
      </c>
      <c r="B849" s="68"/>
      <c r="C849" s="97"/>
      <c r="D849" s="68"/>
    </row>
    <row r="850" spans="1:4" ht="16.5" customHeight="1" x14ac:dyDescent="0.25">
      <c r="A850" s="96" t="s">
        <v>880</v>
      </c>
      <c r="B850" s="68"/>
      <c r="C850" s="97"/>
      <c r="D850" s="68"/>
    </row>
    <row r="851" spans="1:4" ht="16.5" customHeight="1" x14ac:dyDescent="0.25">
      <c r="A851" s="96" t="s">
        <v>881</v>
      </c>
      <c r="B851" s="68"/>
      <c r="C851" s="97"/>
      <c r="D851" s="68"/>
    </row>
    <row r="852" spans="1:4" ht="16.5" customHeight="1" x14ac:dyDescent="0.25">
      <c r="A852" s="98" t="s">
        <v>37</v>
      </c>
      <c r="B852" s="68"/>
      <c r="C852" s="97"/>
      <c r="D852" s="68"/>
    </row>
    <row r="853" spans="1:4" ht="16.5" customHeight="1" x14ac:dyDescent="0.25">
      <c r="A853" s="96" t="s">
        <v>882</v>
      </c>
      <c r="B853" s="68"/>
      <c r="C853" s="97"/>
      <c r="D853" s="68"/>
    </row>
    <row r="854" spans="1:4" ht="16.5" customHeight="1" x14ac:dyDescent="0.25">
      <c r="A854" s="96" t="s">
        <v>883</v>
      </c>
      <c r="B854" s="68"/>
      <c r="C854" s="97"/>
      <c r="D854" s="68"/>
    </row>
    <row r="855" spans="1:4" ht="16.5" customHeight="1" x14ac:dyDescent="0.25">
      <c r="A855" s="96" t="s">
        <v>884</v>
      </c>
      <c r="B855" s="68"/>
      <c r="C855" s="97"/>
      <c r="D855" s="68"/>
    </row>
    <row r="856" spans="1:4" ht="16.5" customHeight="1" x14ac:dyDescent="0.25">
      <c r="A856" s="96" t="s">
        <v>885</v>
      </c>
      <c r="B856" s="68"/>
      <c r="C856" s="97"/>
      <c r="D856" s="68"/>
    </row>
    <row r="857" spans="1:4" ht="16.5" customHeight="1" x14ac:dyDescent="0.25">
      <c r="A857" s="96" t="s">
        <v>886</v>
      </c>
      <c r="B857" s="68"/>
      <c r="C857" s="97"/>
      <c r="D857" s="68"/>
    </row>
    <row r="858" spans="1:4" ht="16.5" customHeight="1" x14ac:dyDescent="0.25">
      <c r="A858" s="96" t="s">
        <v>887</v>
      </c>
      <c r="B858" s="68"/>
      <c r="C858" s="97"/>
      <c r="D858" s="68"/>
    </row>
    <row r="859" spans="1:4" ht="16.5" customHeight="1" x14ac:dyDescent="0.25">
      <c r="A859" s="96" t="s">
        <v>888</v>
      </c>
      <c r="B859" s="68"/>
      <c r="C859" s="97"/>
      <c r="D859" s="68"/>
    </row>
    <row r="860" spans="1:4" ht="16.5" customHeight="1" x14ac:dyDescent="0.25">
      <c r="A860" s="96" t="s">
        <v>889</v>
      </c>
      <c r="B860" s="68"/>
      <c r="C860" s="97"/>
      <c r="D860" s="68"/>
    </row>
    <row r="861" spans="1:4" ht="16.5" customHeight="1" x14ac:dyDescent="0.25">
      <c r="A861" s="96" t="s">
        <v>890</v>
      </c>
      <c r="B861" s="68"/>
      <c r="C861" s="97"/>
      <c r="D861" s="68"/>
    </row>
    <row r="862" spans="1:4" ht="16.5" customHeight="1" x14ac:dyDescent="0.25">
      <c r="A862" s="96" t="s">
        <v>891</v>
      </c>
      <c r="B862" s="68"/>
      <c r="C862" s="97"/>
      <c r="D862" s="68"/>
    </row>
    <row r="863" spans="1:4" ht="16.5" customHeight="1" x14ac:dyDescent="0.25">
      <c r="A863" s="96" t="s">
        <v>892</v>
      </c>
      <c r="B863" s="68"/>
      <c r="C863" s="97"/>
      <c r="D863" s="68"/>
    </row>
    <row r="864" spans="1:4" ht="16.5" customHeight="1" x14ac:dyDescent="0.25">
      <c r="A864" s="96" t="s">
        <v>893</v>
      </c>
      <c r="B864" s="68"/>
      <c r="C864" s="97"/>
      <c r="D864" s="68"/>
    </row>
    <row r="865" spans="1:4" ht="16.5" customHeight="1" x14ac:dyDescent="0.25">
      <c r="A865" s="96" t="s">
        <v>894</v>
      </c>
      <c r="B865" s="68"/>
      <c r="C865" s="97"/>
      <c r="D865" s="68"/>
    </row>
    <row r="866" spans="1:4" ht="16.5" customHeight="1" x14ac:dyDescent="0.25">
      <c r="A866" s="96" t="s">
        <v>895</v>
      </c>
      <c r="B866" s="68"/>
      <c r="C866" s="97"/>
      <c r="D866" s="68"/>
    </row>
    <row r="867" spans="1:4" ht="16.5" customHeight="1" x14ac:dyDescent="0.25">
      <c r="A867" s="96" t="s">
        <v>896</v>
      </c>
      <c r="B867" s="68"/>
      <c r="C867" s="97"/>
      <c r="D867" s="68"/>
    </row>
    <row r="868" spans="1:4" ht="16.5" customHeight="1" x14ac:dyDescent="0.25">
      <c r="A868" s="96" t="s">
        <v>897</v>
      </c>
      <c r="B868" s="68"/>
      <c r="C868" s="97"/>
      <c r="D868" s="68"/>
    </row>
    <row r="869" spans="1:4" ht="16.5" customHeight="1" x14ac:dyDescent="0.25">
      <c r="A869" s="96" t="s">
        <v>898</v>
      </c>
      <c r="B869" s="68"/>
      <c r="C869" s="97"/>
      <c r="D869" s="68"/>
    </row>
    <row r="870" spans="1:4" ht="16.5" customHeight="1" x14ac:dyDescent="0.25">
      <c r="A870" s="98" t="s">
        <v>899</v>
      </c>
      <c r="B870" s="68"/>
      <c r="C870" s="97"/>
      <c r="D870" s="68"/>
    </row>
    <row r="871" spans="1:4" ht="16.5" customHeight="1" x14ac:dyDescent="0.25">
      <c r="A871" s="96" t="s">
        <v>900</v>
      </c>
      <c r="B871" s="68"/>
      <c r="C871" s="97"/>
      <c r="D871" s="68"/>
    </row>
    <row r="872" spans="1:4" ht="16.5" customHeight="1" x14ac:dyDescent="0.25">
      <c r="A872" s="96" t="s">
        <v>901</v>
      </c>
      <c r="B872" s="68"/>
      <c r="C872" s="97"/>
      <c r="D872" s="68"/>
    </row>
    <row r="873" spans="1:4" ht="16.5" customHeight="1" x14ac:dyDescent="0.25">
      <c r="A873" s="96" t="s">
        <v>902</v>
      </c>
      <c r="B873" s="68"/>
      <c r="C873" s="97"/>
      <c r="D873" s="68"/>
    </row>
    <row r="874" spans="1:4" ht="16.5" customHeight="1" x14ac:dyDescent="0.25">
      <c r="A874" s="96" t="s">
        <v>903</v>
      </c>
      <c r="B874" s="68"/>
      <c r="C874" s="97"/>
      <c r="D874" s="68"/>
    </row>
    <row r="875" spans="1:4" ht="16.5" customHeight="1" x14ac:dyDescent="0.25">
      <c r="A875" s="96" t="s">
        <v>904</v>
      </c>
      <c r="B875" s="68"/>
      <c r="C875" s="97"/>
      <c r="D875" s="68"/>
    </row>
    <row r="876" spans="1:4" ht="16.5" customHeight="1" x14ac:dyDescent="0.25">
      <c r="A876" s="98" t="s">
        <v>905</v>
      </c>
      <c r="B876" s="68"/>
      <c r="C876" s="97"/>
      <c r="D876" s="68"/>
    </row>
    <row r="877" spans="1:4" ht="16.5" customHeight="1" x14ac:dyDescent="0.25">
      <c r="A877" s="96" t="s">
        <v>906</v>
      </c>
      <c r="B877" s="68"/>
      <c r="C877" s="97"/>
      <c r="D877" s="68"/>
    </row>
    <row r="878" spans="1:4" ht="16.5" customHeight="1" x14ac:dyDescent="0.25">
      <c r="A878" s="96" t="s">
        <v>907</v>
      </c>
      <c r="B878" s="68"/>
      <c r="C878" s="97"/>
      <c r="D878" s="68"/>
    </row>
    <row r="879" spans="1:4" ht="16.5" customHeight="1" x14ac:dyDescent="0.25">
      <c r="A879" s="96" t="s">
        <v>908</v>
      </c>
      <c r="B879" s="68"/>
      <c r="C879" s="97"/>
      <c r="D879" s="68"/>
    </row>
    <row r="880" spans="1:4" ht="16.5" customHeight="1" x14ac:dyDescent="0.25">
      <c r="A880" s="96" t="s">
        <v>909</v>
      </c>
      <c r="B880" s="68"/>
      <c r="C880" s="97"/>
      <c r="D880" s="68"/>
    </row>
    <row r="881" spans="1:4" ht="16.5" customHeight="1" x14ac:dyDescent="0.25">
      <c r="A881" s="96" t="s">
        <v>910</v>
      </c>
      <c r="B881" s="68"/>
      <c r="C881" s="97"/>
      <c r="D881" s="68"/>
    </row>
    <row r="882" spans="1:4" ht="16.5" customHeight="1" x14ac:dyDescent="0.25">
      <c r="A882" s="96" t="s">
        <v>911</v>
      </c>
      <c r="B882" s="68"/>
      <c r="C882" s="97"/>
      <c r="D882" s="68"/>
    </row>
    <row r="883" spans="1:4" ht="16.5" customHeight="1" x14ac:dyDescent="0.25">
      <c r="A883" s="96" t="s">
        <v>912</v>
      </c>
      <c r="B883" s="68"/>
      <c r="C883" s="97"/>
      <c r="D883" s="68"/>
    </row>
    <row r="884" spans="1:4" ht="16.5" customHeight="1" x14ac:dyDescent="0.25">
      <c r="A884" s="96" t="s">
        <v>913</v>
      </c>
      <c r="B884" s="68"/>
      <c r="C884" s="97"/>
      <c r="D884" s="68"/>
    </row>
    <row r="885" spans="1:4" ht="16.5" customHeight="1" x14ac:dyDescent="0.25">
      <c r="A885" s="98" t="s">
        <v>38</v>
      </c>
      <c r="B885" s="68"/>
      <c r="C885" s="97"/>
      <c r="D885" s="68"/>
    </row>
    <row r="886" spans="1:4" ht="16.5" customHeight="1" x14ac:dyDescent="0.25">
      <c r="A886" s="99" t="s">
        <v>914</v>
      </c>
      <c r="B886" s="68"/>
      <c r="C886" s="97"/>
      <c r="D886" s="68"/>
    </row>
    <row r="887" spans="1:4" ht="16.5" customHeight="1" x14ac:dyDescent="0.25">
      <c r="A887" s="96" t="s">
        <v>915</v>
      </c>
      <c r="B887" s="68"/>
      <c r="C887" s="97"/>
      <c r="D887" s="68"/>
    </row>
    <row r="888" spans="1:4" ht="16.5" customHeight="1" x14ac:dyDescent="0.25">
      <c r="A888" s="96" t="s">
        <v>916</v>
      </c>
      <c r="B888" s="68"/>
      <c r="C888" s="97"/>
      <c r="D888" s="68"/>
    </row>
    <row r="889" spans="1:4" ht="16.5" customHeight="1" x14ac:dyDescent="0.25">
      <c r="A889" s="98" t="s">
        <v>917</v>
      </c>
      <c r="B889" s="68"/>
      <c r="C889" s="97"/>
      <c r="D889" s="68"/>
    </row>
    <row r="890" spans="1:4" ht="16.5" customHeight="1" x14ac:dyDescent="0.25">
      <c r="A890" s="96" t="s">
        <v>918</v>
      </c>
      <c r="B890" s="68"/>
      <c r="C890" s="97"/>
      <c r="D890" s="68"/>
    </row>
    <row r="891" spans="1:4" ht="16.5" customHeight="1" x14ac:dyDescent="0.25">
      <c r="A891" s="98" t="s">
        <v>39</v>
      </c>
      <c r="B891" s="68"/>
      <c r="C891" s="97"/>
      <c r="D891" s="68"/>
    </row>
    <row r="892" spans="1:4" ht="16.5" customHeight="1" x14ac:dyDescent="0.25">
      <c r="A892" s="98" t="s">
        <v>919</v>
      </c>
      <c r="B892" s="68"/>
      <c r="C892" s="97"/>
      <c r="D892" s="68"/>
    </row>
    <row r="893" spans="1:4" ht="16.5" customHeight="1" x14ac:dyDescent="0.25">
      <c r="A893" s="98" t="s">
        <v>920</v>
      </c>
      <c r="B893" s="68"/>
      <c r="C893" s="97"/>
      <c r="D893" s="68"/>
    </row>
    <row r="894" spans="1:4" ht="16.5" customHeight="1" x14ac:dyDescent="0.25">
      <c r="A894" s="99" t="s">
        <v>921</v>
      </c>
      <c r="B894" s="68"/>
      <c r="C894" s="97"/>
      <c r="D894" s="68"/>
    </row>
    <row r="895" spans="1:4" ht="16.5" customHeight="1" x14ac:dyDescent="0.25">
      <c r="A895" s="101" t="s">
        <v>922</v>
      </c>
      <c r="B895" s="68"/>
      <c r="C895" s="97"/>
      <c r="D895" s="68"/>
    </row>
    <row r="896" spans="1:4" ht="16.5" customHeight="1" x14ac:dyDescent="0.25">
      <c r="A896" s="96" t="s">
        <v>923</v>
      </c>
      <c r="B896" s="68"/>
      <c r="C896" s="97"/>
      <c r="D896" s="68"/>
    </row>
    <row r="897" spans="1:4" ht="16.5" customHeight="1" x14ac:dyDescent="0.25">
      <c r="A897" s="98" t="s">
        <v>44</v>
      </c>
      <c r="B897" s="68"/>
      <c r="C897" s="97"/>
      <c r="D897" s="68"/>
    </row>
    <row r="898" spans="1:4" ht="16.5" customHeight="1" x14ac:dyDescent="0.25">
      <c r="A898" s="96" t="s">
        <v>924</v>
      </c>
      <c r="B898" s="68"/>
      <c r="C898" s="97"/>
      <c r="D898" s="68"/>
    </row>
    <row r="899" spans="1:4" ht="16.5" customHeight="1" x14ac:dyDescent="0.25">
      <c r="A899" s="99" t="s">
        <v>925</v>
      </c>
      <c r="B899" s="68"/>
      <c r="C899" s="97"/>
      <c r="D899" s="68"/>
    </row>
    <row r="900" spans="1:4" ht="16.5" customHeight="1" x14ac:dyDescent="0.25">
      <c r="A900" s="96" t="s">
        <v>926</v>
      </c>
      <c r="B900" s="68"/>
      <c r="C900" s="97"/>
      <c r="D900" s="68"/>
    </row>
    <row r="901" spans="1:4" ht="16.5" customHeight="1" x14ac:dyDescent="0.25">
      <c r="A901" s="96" t="s">
        <v>927</v>
      </c>
      <c r="B901" s="68"/>
      <c r="C901" s="97"/>
      <c r="D901" s="68"/>
    </row>
    <row r="902" spans="1:4" ht="16.5" customHeight="1" x14ac:dyDescent="0.25">
      <c r="A902" s="96" t="s">
        <v>928</v>
      </c>
      <c r="B902" s="68"/>
      <c r="C902" s="97"/>
      <c r="D902" s="68"/>
    </row>
    <row r="903" spans="1:4" ht="16.5" customHeight="1" x14ac:dyDescent="0.25">
      <c r="A903" s="96" t="s">
        <v>929</v>
      </c>
      <c r="B903" s="68"/>
      <c r="C903" s="97"/>
      <c r="D903" s="68"/>
    </row>
    <row r="904" spans="1:4" ht="16.5" customHeight="1" x14ac:dyDescent="0.25">
      <c r="A904" s="96" t="s">
        <v>930</v>
      </c>
      <c r="B904" s="68"/>
      <c r="C904" s="97"/>
      <c r="D904" s="68"/>
    </row>
    <row r="905" spans="1:4" ht="16.5" customHeight="1" x14ac:dyDescent="0.25">
      <c r="A905" s="98" t="s">
        <v>931</v>
      </c>
      <c r="B905" s="68"/>
      <c r="C905" s="97"/>
      <c r="D905" s="68"/>
    </row>
    <row r="906" spans="1:4" ht="16.5" customHeight="1" x14ac:dyDescent="0.25">
      <c r="A906" s="96" t="s">
        <v>932</v>
      </c>
      <c r="B906" s="68"/>
      <c r="C906" s="97"/>
      <c r="D906" s="68"/>
    </row>
    <row r="907" spans="1:4" ht="16.5" customHeight="1" x14ac:dyDescent="0.25">
      <c r="A907" s="96" t="s">
        <v>933</v>
      </c>
      <c r="B907" s="68"/>
      <c r="C907" s="97"/>
      <c r="D907" s="68"/>
    </row>
    <row r="908" spans="1:4" ht="16.5" customHeight="1" x14ac:dyDescent="0.25">
      <c r="A908" s="96" t="s">
        <v>934</v>
      </c>
      <c r="B908" s="68"/>
      <c r="C908" s="97"/>
      <c r="D908" s="68"/>
    </row>
    <row r="909" spans="1:4" ht="16.5" customHeight="1" x14ac:dyDescent="0.25">
      <c r="A909" s="96" t="s">
        <v>935</v>
      </c>
      <c r="B909" s="68"/>
      <c r="C909" s="97"/>
      <c r="D909" s="68"/>
    </row>
    <row r="910" spans="1:4" ht="16.5" customHeight="1" x14ac:dyDescent="0.25">
      <c r="A910" s="98" t="s">
        <v>936</v>
      </c>
      <c r="B910" s="68"/>
      <c r="C910" s="97"/>
      <c r="D910" s="68"/>
    </row>
    <row r="911" spans="1:4" ht="16.5" customHeight="1" x14ac:dyDescent="0.25">
      <c r="A911" s="98" t="s">
        <v>937</v>
      </c>
      <c r="B911" s="68"/>
      <c r="C911" s="97"/>
      <c r="D911" s="68"/>
    </row>
    <row r="912" spans="1:4" ht="16.5" customHeight="1" x14ac:dyDescent="0.25">
      <c r="A912" s="96" t="s">
        <v>938</v>
      </c>
      <c r="B912" s="68"/>
      <c r="C912" s="97"/>
      <c r="D912" s="68"/>
    </row>
    <row r="913" spans="1:4" ht="16.5" customHeight="1" x14ac:dyDescent="0.25">
      <c r="A913" s="98" t="s">
        <v>939</v>
      </c>
      <c r="B913" s="68"/>
      <c r="C913" s="97"/>
      <c r="D913" s="68"/>
    </row>
    <row r="914" spans="1:4" ht="16.5" customHeight="1" x14ac:dyDescent="0.25">
      <c r="A914" s="96" t="s">
        <v>940</v>
      </c>
      <c r="B914" s="68"/>
      <c r="C914" s="97"/>
      <c r="D914" s="68"/>
    </row>
    <row r="915" spans="1:4" ht="16.5" customHeight="1" x14ac:dyDescent="0.25">
      <c r="A915" s="96" t="s">
        <v>941</v>
      </c>
      <c r="B915" s="68"/>
      <c r="C915" s="97"/>
      <c r="D915" s="68"/>
    </row>
    <row r="916" spans="1:4" ht="16.5" customHeight="1" x14ac:dyDescent="0.25">
      <c r="A916" s="98" t="s">
        <v>942</v>
      </c>
      <c r="B916" s="68"/>
      <c r="C916" s="97"/>
      <c r="D916" s="68"/>
    </row>
    <row r="917" spans="1:4" ht="16.5" customHeight="1" x14ac:dyDescent="0.25">
      <c r="A917" s="98" t="s">
        <v>943</v>
      </c>
      <c r="B917" s="68"/>
      <c r="C917" s="97"/>
      <c r="D917" s="68"/>
    </row>
    <row r="918" spans="1:4" ht="16.5" customHeight="1" x14ac:dyDescent="0.25">
      <c r="A918" s="98" t="s">
        <v>944</v>
      </c>
      <c r="B918" s="68"/>
      <c r="C918" s="97"/>
      <c r="D918" s="68"/>
    </row>
    <row r="919" spans="1:4" ht="16.5" customHeight="1" x14ac:dyDescent="0.25">
      <c r="A919" s="98" t="s">
        <v>945</v>
      </c>
      <c r="B919" s="68"/>
      <c r="C919" s="97"/>
      <c r="D919" s="68"/>
    </row>
    <row r="920" spans="1:4" ht="16.5" customHeight="1" x14ac:dyDescent="0.25">
      <c r="A920" s="96" t="s">
        <v>946</v>
      </c>
      <c r="B920" s="68"/>
      <c r="C920" s="97"/>
      <c r="D920" s="68"/>
    </row>
    <row r="921" spans="1:4" ht="16.5" customHeight="1" x14ac:dyDescent="0.25">
      <c r="A921" s="96" t="s">
        <v>947</v>
      </c>
      <c r="B921" s="68"/>
      <c r="C921" s="97"/>
      <c r="D921" s="68"/>
    </row>
    <row r="922" spans="1:4" ht="16.5" customHeight="1" x14ac:dyDescent="0.25">
      <c r="A922" s="96" t="s">
        <v>948</v>
      </c>
      <c r="B922" s="68"/>
      <c r="C922" s="97"/>
      <c r="D922" s="68"/>
    </row>
    <row r="923" spans="1:4" ht="16.5" customHeight="1" x14ac:dyDescent="0.25">
      <c r="A923" s="96" t="s">
        <v>949</v>
      </c>
      <c r="B923" s="68"/>
      <c r="C923" s="97"/>
      <c r="D923" s="68"/>
    </row>
    <row r="924" spans="1:4" ht="16.5" customHeight="1" x14ac:dyDescent="0.25">
      <c r="A924" s="96" t="s">
        <v>950</v>
      </c>
      <c r="B924" s="68"/>
      <c r="C924" s="97"/>
      <c r="D924" s="68"/>
    </row>
    <row r="925" spans="1:4" ht="16.5" customHeight="1" x14ac:dyDescent="0.25">
      <c r="A925" s="96" t="s">
        <v>951</v>
      </c>
      <c r="B925" s="68"/>
      <c r="C925" s="97"/>
      <c r="D925" s="68"/>
    </row>
    <row r="926" spans="1:4" ht="16.5" customHeight="1" x14ac:dyDescent="0.25">
      <c r="A926" s="96" t="s">
        <v>952</v>
      </c>
      <c r="B926" s="68"/>
      <c r="C926" s="97"/>
      <c r="D926" s="68"/>
    </row>
    <row r="927" spans="1:4" ht="16.5" customHeight="1" x14ac:dyDescent="0.25">
      <c r="A927" s="96" t="s">
        <v>953</v>
      </c>
      <c r="B927" s="68"/>
      <c r="C927" s="97"/>
      <c r="D927" s="68"/>
    </row>
    <row r="928" spans="1:4" ht="16.5" customHeight="1" x14ac:dyDescent="0.25">
      <c r="A928" s="96" t="s">
        <v>954</v>
      </c>
      <c r="B928" s="68"/>
      <c r="C928" s="97"/>
      <c r="D928" s="68"/>
    </row>
    <row r="929" spans="1:4" ht="16.5" customHeight="1" x14ac:dyDescent="0.25">
      <c r="A929" s="101" t="s">
        <v>955</v>
      </c>
      <c r="B929" s="68"/>
      <c r="C929" s="97"/>
      <c r="D929" s="68"/>
    </row>
    <row r="930" spans="1:4" ht="16.5" customHeight="1" x14ac:dyDescent="0.25">
      <c r="A930" s="96" t="s">
        <v>956</v>
      </c>
      <c r="B930" s="68"/>
      <c r="C930" s="97"/>
      <c r="D930" s="68"/>
    </row>
    <row r="931" spans="1:4" ht="16.5" customHeight="1" x14ac:dyDescent="0.25">
      <c r="A931" s="98" t="s">
        <v>1950</v>
      </c>
      <c r="B931" s="68"/>
      <c r="C931" s="97"/>
      <c r="D931" s="68"/>
    </row>
    <row r="932" spans="1:4" ht="16.5" customHeight="1" x14ac:dyDescent="0.25">
      <c r="A932" s="96" t="s">
        <v>957</v>
      </c>
      <c r="B932" s="68"/>
      <c r="C932" s="97"/>
      <c r="D932" s="68"/>
    </row>
    <row r="933" spans="1:4" ht="16.5" customHeight="1" x14ac:dyDescent="0.25">
      <c r="A933" s="96" t="s">
        <v>958</v>
      </c>
      <c r="B933" s="68"/>
      <c r="C933" s="97"/>
      <c r="D933" s="68"/>
    </row>
    <row r="934" spans="1:4" ht="16.5" customHeight="1" x14ac:dyDescent="0.25">
      <c r="A934" s="96" t="s">
        <v>959</v>
      </c>
      <c r="B934" s="68"/>
      <c r="C934" s="97"/>
      <c r="D934" s="68"/>
    </row>
    <row r="935" spans="1:4" ht="16.5" customHeight="1" x14ac:dyDescent="0.25">
      <c r="A935" s="96" t="s">
        <v>960</v>
      </c>
      <c r="B935" s="68"/>
      <c r="C935" s="97"/>
      <c r="D935" s="68"/>
    </row>
    <row r="936" spans="1:4" ht="16.5" customHeight="1" x14ac:dyDescent="0.25">
      <c r="A936" s="96" t="s">
        <v>961</v>
      </c>
      <c r="B936" s="68"/>
      <c r="C936" s="97"/>
      <c r="D936" s="68"/>
    </row>
    <row r="937" spans="1:4" ht="16.5" customHeight="1" x14ac:dyDescent="0.25">
      <c r="A937" s="96" t="s">
        <v>962</v>
      </c>
      <c r="B937" s="68"/>
      <c r="C937" s="97"/>
      <c r="D937" s="68"/>
    </row>
    <row r="938" spans="1:4" ht="16.5" customHeight="1" x14ac:dyDescent="0.25">
      <c r="A938" s="96" t="s">
        <v>963</v>
      </c>
      <c r="B938" s="68"/>
      <c r="C938" s="97"/>
      <c r="D938" s="68"/>
    </row>
    <row r="939" spans="1:4" ht="16.5" customHeight="1" x14ac:dyDescent="0.25">
      <c r="A939" s="96" t="s">
        <v>1041</v>
      </c>
      <c r="B939" s="68"/>
      <c r="C939" s="97"/>
      <c r="D939" s="68"/>
    </row>
    <row r="940" spans="1:4" ht="16.5" customHeight="1" x14ac:dyDescent="0.25">
      <c r="A940" s="96" t="s">
        <v>964</v>
      </c>
      <c r="B940" s="68"/>
      <c r="C940" s="97"/>
      <c r="D940" s="68"/>
    </row>
    <row r="941" spans="1:4" ht="16.5" customHeight="1" x14ac:dyDescent="0.25">
      <c r="A941" s="96" t="s">
        <v>965</v>
      </c>
      <c r="B941" s="68"/>
      <c r="C941" s="97"/>
      <c r="D941" s="68"/>
    </row>
    <row r="942" spans="1:4" ht="16.5" customHeight="1" x14ac:dyDescent="0.25">
      <c r="A942" s="96" t="s">
        <v>966</v>
      </c>
      <c r="B942" s="68"/>
      <c r="C942" s="97"/>
      <c r="D942" s="68"/>
    </row>
    <row r="943" spans="1:4" ht="16.5" customHeight="1" x14ac:dyDescent="0.25">
      <c r="A943" s="98" t="s">
        <v>40</v>
      </c>
      <c r="B943" s="68"/>
      <c r="C943" s="97"/>
      <c r="D943" s="68"/>
    </row>
    <row r="944" spans="1:4" ht="16.5" customHeight="1" x14ac:dyDescent="0.25">
      <c r="A944" s="98" t="s">
        <v>967</v>
      </c>
      <c r="B944" s="68"/>
      <c r="C944" s="97"/>
      <c r="D944" s="68"/>
    </row>
    <row r="945" spans="1:4" ht="16.5" customHeight="1" x14ac:dyDescent="0.25">
      <c r="A945" s="98" t="s">
        <v>968</v>
      </c>
      <c r="B945" s="68"/>
      <c r="C945" s="97"/>
      <c r="D945" s="68"/>
    </row>
    <row r="946" spans="1:4" ht="16.5" customHeight="1" x14ac:dyDescent="0.25">
      <c r="A946" s="96" t="s">
        <v>969</v>
      </c>
      <c r="B946" s="68"/>
      <c r="C946" s="97"/>
      <c r="D946" s="68"/>
    </row>
    <row r="947" spans="1:4" ht="16.5" customHeight="1" x14ac:dyDescent="0.25">
      <c r="A947" s="98" t="s">
        <v>970</v>
      </c>
      <c r="B947" s="68"/>
      <c r="C947" s="97"/>
      <c r="D947" s="68"/>
    </row>
    <row r="948" spans="1:4" ht="16.5" customHeight="1" x14ac:dyDescent="0.25">
      <c r="A948" s="96" t="s">
        <v>971</v>
      </c>
      <c r="B948" s="68"/>
      <c r="C948" s="97"/>
      <c r="D948" s="68"/>
    </row>
    <row r="949" spans="1:4" ht="16.5" customHeight="1" x14ac:dyDescent="0.25">
      <c r="A949" s="96" t="s">
        <v>972</v>
      </c>
      <c r="B949" s="68"/>
      <c r="C949" s="97"/>
      <c r="D949" s="68"/>
    </row>
    <row r="950" spans="1:4" ht="16.5" customHeight="1" x14ac:dyDescent="0.25">
      <c r="A950" s="96" t="s">
        <v>973</v>
      </c>
      <c r="B950" s="68"/>
      <c r="C950" s="97"/>
      <c r="D950" s="68"/>
    </row>
    <row r="951" spans="1:4" ht="16.5" customHeight="1" x14ac:dyDescent="0.25">
      <c r="A951" s="96" t="s">
        <v>974</v>
      </c>
      <c r="B951" s="68"/>
      <c r="C951" s="97"/>
      <c r="D951" s="68"/>
    </row>
    <row r="952" spans="1:4" ht="16.5" customHeight="1" x14ac:dyDescent="0.25">
      <c r="A952" s="96" t="s">
        <v>975</v>
      </c>
      <c r="B952" s="68"/>
      <c r="C952" s="97"/>
      <c r="D952" s="68"/>
    </row>
    <row r="953" spans="1:4" ht="16.5" customHeight="1" x14ac:dyDescent="0.25">
      <c r="A953" s="96" t="s">
        <v>976</v>
      </c>
      <c r="B953" s="68"/>
      <c r="C953" s="97"/>
      <c r="D953" s="68"/>
    </row>
    <row r="954" spans="1:4" ht="16.5" customHeight="1" x14ac:dyDescent="0.25">
      <c r="A954" s="96" t="s">
        <v>977</v>
      </c>
      <c r="B954" s="68"/>
      <c r="C954" s="97"/>
      <c r="D954" s="68"/>
    </row>
    <row r="955" spans="1:4" ht="16.5" customHeight="1" x14ac:dyDescent="0.25">
      <c r="A955" s="96" t="s">
        <v>978</v>
      </c>
      <c r="B955" s="68"/>
      <c r="C955" s="97"/>
      <c r="D955" s="68"/>
    </row>
    <row r="956" spans="1:4" ht="16.5" customHeight="1" x14ac:dyDescent="0.25">
      <c r="A956" s="96" t="s">
        <v>979</v>
      </c>
      <c r="B956" s="68"/>
      <c r="C956" s="97"/>
      <c r="D956" s="68"/>
    </row>
    <row r="957" spans="1:4" ht="16.5" customHeight="1" x14ac:dyDescent="0.25">
      <c r="A957" s="101" t="s">
        <v>980</v>
      </c>
      <c r="B957" s="68"/>
      <c r="C957" s="97"/>
      <c r="D957" s="68"/>
    </row>
    <row r="958" spans="1:4" ht="16.5" customHeight="1" x14ac:dyDescent="0.25">
      <c r="A958" s="96" t="s">
        <v>981</v>
      </c>
      <c r="B958" s="68"/>
      <c r="C958" s="97"/>
      <c r="D958" s="68"/>
    </row>
    <row r="959" spans="1:4" ht="16.5" customHeight="1" x14ac:dyDescent="0.25">
      <c r="A959" s="101" t="s">
        <v>982</v>
      </c>
      <c r="B959" s="68"/>
      <c r="C959" s="97"/>
      <c r="D959" s="68"/>
    </row>
    <row r="960" spans="1:4" ht="16.5" customHeight="1" x14ac:dyDescent="0.25">
      <c r="A960" s="96" t="s">
        <v>983</v>
      </c>
      <c r="B960" s="68"/>
      <c r="C960" s="97"/>
      <c r="D960" s="68"/>
    </row>
    <row r="961" spans="1:4" ht="16.5" customHeight="1" x14ac:dyDescent="0.25">
      <c r="A961" s="96" t="s">
        <v>984</v>
      </c>
      <c r="B961" s="68"/>
      <c r="C961" s="97"/>
      <c r="D961" s="68"/>
    </row>
    <row r="962" spans="1:4" ht="16.5" customHeight="1" x14ac:dyDescent="0.25">
      <c r="A962" s="96" t="s">
        <v>985</v>
      </c>
      <c r="B962" s="68"/>
      <c r="C962" s="97"/>
      <c r="D962" s="68"/>
    </row>
    <row r="963" spans="1:4" ht="16.5" customHeight="1" x14ac:dyDescent="0.25">
      <c r="A963" s="96" t="s">
        <v>986</v>
      </c>
      <c r="B963" s="68"/>
      <c r="C963" s="97"/>
      <c r="D963" s="68"/>
    </row>
    <row r="964" spans="1:4" ht="16.5" customHeight="1" x14ac:dyDescent="0.25">
      <c r="A964" s="96" t="s">
        <v>987</v>
      </c>
      <c r="B964" s="68"/>
      <c r="C964" s="97"/>
      <c r="D964" s="68"/>
    </row>
    <row r="965" spans="1:4" ht="16.5" customHeight="1" x14ac:dyDescent="0.25">
      <c r="A965" s="96" t="s">
        <v>988</v>
      </c>
      <c r="B965" s="68"/>
      <c r="C965" s="97"/>
      <c r="D965" s="68"/>
    </row>
    <row r="966" spans="1:4" ht="16.5" customHeight="1" x14ac:dyDescent="0.25">
      <c r="A966" s="96" t="s">
        <v>989</v>
      </c>
      <c r="B966" s="68"/>
      <c r="C966" s="97"/>
      <c r="D966" s="68"/>
    </row>
    <row r="967" spans="1:4" ht="16.5" customHeight="1" x14ac:dyDescent="0.25">
      <c r="A967" s="96" t="s">
        <v>990</v>
      </c>
      <c r="B967" s="68"/>
      <c r="C967" s="97"/>
      <c r="D967" s="68"/>
    </row>
    <row r="968" spans="1:4" ht="16.5" customHeight="1" x14ac:dyDescent="0.25">
      <c r="A968" s="98" t="s">
        <v>991</v>
      </c>
      <c r="B968" s="68"/>
      <c r="C968" s="97"/>
      <c r="D968" s="68"/>
    </row>
    <row r="969" spans="1:4" ht="16.5" customHeight="1" x14ac:dyDescent="0.25">
      <c r="A969" s="99" t="s">
        <v>992</v>
      </c>
      <c r="B969" s="68"/>
      <c r="C969" s="97"/>
      <c r="D969" s="68"/>
    </row>
    <row r="970" spans="1:4" ht="16.5" customHeight="1" x14ac:dyDescent="0.25">
      <c r="A970" s="96" t="s">
        <v>993</v>
      </c>
      <c r="B970" s="68"/>
      <c r="C970" s="97"/>
      <c r="D970" s="68"/>
    </row>
    <row r="971" spans="1:4" ht="16.5" customHeight="1" x14ac:dyDescent="0.25">
      <c r="A971" s="96" t="s">
        <v>994</v>
      </c>
      <c r="B971" s="68"/>
      <c r="C971" s="97"/>
      <c r="D971" s="68"/>
    </row>
    <row r="972" spans="1:4" ht="16.5" customHeight="1" x14ac:dyDescent="0.25">
      <c r="A972" s="96" t="s">
        <v>995</v>
      </c>
      <c r="B972" s="68"/>
      <c r="C972" s="97"/>
      <c r="D972" s="68"/>
    </row>
    <row r="973" spans="1:4" ht="16.5" customHeight="1" x14ac:dyDescent="0.25">
      <c r="A973" s="96" t="s">
        <v>997</v>
      </c>
      <c r="B973" s="68"/>
      <c r="C973" s="97"/>
      <c r="D973" s="68"/>
    </row>
    <row r="974" spans="1:4" ht="16.5" customHeight="1" x14ac:dyDescent="0.25">
      <c r="A974" s="96" t="s">
        <v>998</v>
      </c>
      <c r="B974" s="68"/>
      <c r="C974" s="97"/>
      <c r="D974" s="68"/>
    </row>
    <row r="975" spans="1:4" ht="16.5" customHeight="1" x14ac:dyDescent="0.25">
      <c r="A975" s="96" t="s">
        <v>999</v>
      </c>
      <c r="B975" s="68"/>
      <c r="C975" s="97"/>
      <c r="D975" s="68"/>
    </row>
    <row r="976" spans="1:4" ht="16.5" customHeight="1" x14ac:dyDescent="0.25">
      <c r="A976" s="96" t="s">
        <v>1000</v>
      </c>
      <c r="B976" s="68"/>
      <c r="C976" s="97"/>
      <c r="D976" s="68"/>
    </row>
    <row r="977" spans="1:4" ht="16.5" customHeight="1" x14ac:dyDescent="0.25">
      <c r="A977" s="96" t="s">
        <v>1001</v>
      </c>
      <c r="B977" s="68"/>
      <c r="C977" s="97"/>
      <c r="D977" s="68"/>
    </row>
    <row r="978" spans="1:4" ht="16.5" customHeight="1" x14ac:dyDescent="0.25">
      <c r="A978" s="96" t="s">
        <v>1002</v>
      </c>
      <c r="B978" s="68"/>
      <c r="C978" s="97"/>
      <c r="D978" s="68"/>
    </row>
    <row r="979" spans="1:4" ht="16.5" customHeight="1" x14ac:dyDescent="0.25">
      <c r="A979" s="96" t="s">
        <v>1003</v>
      </c>
      <c r="B979" s="68"/>
      <c r="C979" s="97"/>
      <c r="D979" s="68"/>
    </row>
    <row r="980" spans="1:4" ht="16.5" customHeight="1" x14ac:dyDescent="0.25">
      <c r="A980" s="99" t="s">
        <v>996</v>
      </c>
      <c r="B980" s="68"/>
      <c r="C980" s="97"/>
      <c r="D980" s="68"/>
    </row>
    <row r="981" spans="1:4" ht="16.5" customHeight="1" x14ac:dyDescent="0.25">
      <c r="A981" s="96" t="s">
        <v>1004</v>
      </c>
      <c r="B981" s="68"/>
      <c r="C981" s="97"/>
      <c r="D981" s="68"/>
    </row>
    <row r="982" spans="1:4" ht="16.5" customHeight="1" x14ac:dyDescent="0.25">
      <c r="A982" s="96" t="s">
        <v>1005</v>
      </c>
      <c r="B982" s="68"/>
      <c r="C982" s="97"/>
      <c r="D982" s="68"/>
    </row>
    <row r="983" spans="1:4" ht="16.5" customHeight="1" x14ac:dyDescent="0.25">
      <c r="A983" s="96" t="s">
        <v>1006</v>
      </c>
      <c r="B983" s="68"/>
      <c r="C983" s="97"/>
      <c r="D983" s="68"/>
    </row>
    <row r="984" spans="1:4" ht="16.5" customHeight="1" x14ac:dyDescent="0.25">
      <c r="A984" s="98" t="s">
        <v>45</v>
      </c>
      <c r="B984" s="68"/>
      <c r="C984" s="97"/>
      <c r="D984" s="68"/>
    </row>
    <row r="985" spans="1:4" ht="16.5" customHeight="1" x14ac:dyDescent="0.25">
      <c r="A985" s="98" t="s">
        <v>46</v>
      </c>
      <c r="B985" s="68"/>
      <c r="C985" s="97"/>
      <c r="D985" s="68"/>
    </row>
    <row r="986" spans="1:4" ht="16.5" customHeight="1" x14ac:dyDescent="0.25">
      <c r="A986" s="98" t="s">
        <v>47</v>
      </c>
      <c r="B986" s="68"/>
      <c r="C986" s="97"/>
      <c r="D986" s="68"/>
    </row>
    <row r="987" spans="1:4" ht="16.5" customHeight="1" x14ac:dyDescent="0.25">
      <c r="A987" s="96" t="s">
        <v>1007</v>
      </c>
      <c r="B987" s="68"/>
      <c r="C987" s="97"/>
      <c r="D987" s="68"/>
    </row>
    <row r="988" spans="1:4" ht="16.5" customHeight="1" x14ac:dyDescent="0.25">
      <c r="A988" s="96" t="s">
        <v>1008</v>
      </c>
      <c r="B988" s="68"/>
      <c r="C988" s="97"/>
      <c r="D988" s="68"/>
    </row>
    <row r="989" spans="1:4" ht="16.5" customHeight="1" x14ac:dyDescent="0.25">
      <c r="A989" s="98" t="s">
        <v>1009</v>
      </c>
      <c r="B989" s="68"/>
      <c r="C989" s="97"/>
      <c r="D989" s="68"/>
    </row>
    <row r="990" spans="1:4" ht="16.5" customHeight="1" x14ac:dyDescent="0.25">
      <c r="A990" s="96" t="s">
        <v>1010</v>
      </c>
      <c r="B990" s="68"/>
      <c r="C990" s="97"/>
      <c r="D990" s="68"/>
    </row>
    <row r="991" spans="1:4" ht="16.5" customHeight="1" x14ac:dyDescent="0.25">
      <c r="A991" s="99" t="s">
        <v>1011</v>
      </c>
      <c r="B991" s="68"/>
      <c r="C991" s="97"/>
      <c r="D991" s="68"/>
    </row>
    <row r="992" spans="1:4" ht="16.5" customHeight="1" x14ac:dyDescent="0.25">
      <c r="A992" s="96" t="s">
        <v>1012</v>
      </c>
      <c r="B992" s="68"/>
      <c r="C992" s="97"/>
      <c r="D992" s="68"/>
    </row>
    <row r="993" spans="1:4" ht="16.5" customHeight="1" x14ac:dyDescent="0.25">
      <c r="A993" s="96" t="s">
        <v>1013</v>
      </c>
      <c r="B993" s="68"/>
      <c r="C993" s="97"/>
      <c r="D993" s="68"/>
    </row>
    <row r="994" spans="1:4" ht="16.5" customHeight="1" x14ac:dyDescent="0.25">
      <c r="A994" s="96" t="s">
        <v>1014</v>
      </c>
      <c r="B994" s="68"/>
      <c r="C994" s="97"/>
      <c r="D994" s="68"/>
    </row>
    <row r="995" spans="1:4" ht="16.5" customHeight="1" x14ac:dyDescent="0.25">
      <c r="A995" s="98" t="s">
        <v>1015</v>
      </c>
      <c r="B995" s="68"/>
      <c r="C995" s="97"/>
      <c r="D995" s="68"/>
    </row>
    <row r="996" spans="1:4" ht="16.5" customHeight="1" x14ac:dyDescent="0.25">
      <c r="A996" s="96" t="s">
        <v>1016</v>
      </c>
      <c r="B996" s="68"/>
      <c r="C996" s="97"/>
      <c r="D996" s="68"/>
    </row>
    <row r="997" spans="1:4" ht="16.5" customHeight="1" x14ac:dyDescent="0.25">
      <c r="A997" s="96" t="s">
        <v>1017</v>
      </c>
      <c r="B997" s="68"/>
      <c r="C997" s="97"/>
      <c r="D997" s="68"/>
    </row>
    <row r="998" spans="1:4" ht="16.5" customHeight="1" x14ac:dyDescent="0.25">
      <c r="A998" s="96" t="s">
        <v>1018</v>
      </c>
      <c r="B998" s="68"/>
      <c r="C998" s="97"/>
      <c r="D998" s="68"/>
    </row>
    <row r="999" spans="1:4" ht="16.5" customHeight="1" x14ac:dyDescent="0.25">
      <c r="A999" s="96" t="s">
        <v>1019</v>
      </c>
      <c r="B999" s="68"/>
      <c r="C999" s="97"/>
      <c r="D999" s="68"/>
    </row>
    <row r="1000" spans="1:4" ht="16.5" customHeight="1" x14ac:dyDescent="0.25">
      <c r="A1000" s="96" t="s">
        <v>1020</v>
      </c>
      <c r="B1000" s="68"/>
      <c r="C1000" s="97"/>
      <c r="D1000" s="68"/>
    </row>
    <row r="1001" spans="1:4" ht="16.5" customHeight="1" x14ac:dyDescent="0.25">
      <c r="A1001" s="96" t="s">
        <v>1021</v>
      </c>
      <c r="B1001" s="68"/>
      <c r="C1001" s="97"/>
      <c r="D1001" s="68"/>
    </row>
    <row r="1002" spans="1:4" ht="16.5" customHeight="1" x14ac:dyDescent="0.25">
      <c r="A1002" s="96" t="s">
        <v>1022</v>
      </c>
      <c r="B1002" s="68"/>
      <c r="C1002" s="97"/>
      <c r="D1002" s="68"/>
    </row>
    <row r="1003" spans="1:4" ht="16.5" customHeight="1" x14ac:dyDescent="0.25">
      <c r="A1003" s="96" t="s">
        <v>1023</v>
      </c>
      <c r="B1003" s="68"/>
      <c r="C1003" s="97"/>
      <c r="D1003" s="68"/>
    </row>
    <row r="1004" spans="1:4" ht="16.5" customHeight="1" x14ac:dyDescent="0.25">
      <c r="A1004" s="96" t="s">
        <v>1024</v>
      </c>
      <c r="B1004" s="68"/>
      <c r="C1004" s="97"/>
      <c r="D1004" s="68"/>
    </row>
    <row r="1005" spans="1:4" ht="16.5" customHeight="1" x14ac:dyDescent="0.25">
      <c r="A1005" s="96" t="s">
        <v>1025</v>
      </c>
      <c r="B1005" s="68"/>
      <c r="C1005" s="97"/>
      <c r="D1005" s="68"/>
    </row>
    <row r="1006" spans="1:4" ht="16.5" customHeight="1" x14ac:dyDescent="0.25">
      <c r="A1006" s="96" t="s">
        <v>1026</v>
      </c>
      <c r="B1006" s="68"/>
      <c r="C1006" s="97"/>
      <c r="D1006" s="68"/>
    </row>
    <row r="1007" spans="1:4" ht="16.5" customHeight="1" x14ac:dyDescent="0.25">
      <c r="A1007" s="96" t="s">
        <v>1027</v>
      </c>
      <c r="B1007" s="68"/>
      <c r="C1007" s="97"/>
      <c r="D1007" s="68"/>
    </row>
    <row r="1008" spans="1:4" ht="16.5" customHeight="1" x14ac:dyDescent="0.25">
      <c r="A1008" s="99" t="s">
        <v>1028</v>
      </c>
      <c r="B1008" s="68"/>
      <c r="C1008" s="97"/>
      <c r="D1008" s="68"/>
    </row>
    <row r="1009" spans="1:4" ht="16.5" customHeight="1" x14ac:dyDescent="0.25">
      <c r="A1009" s="99" t="s">
        <v>1029</v>
      </c>
      <c r="B1009" s="68"/>
      <c r="C1009" s="97"/>
      <c r="D1009" s="68"/>
    </row>
    <row r="1010" spans="1:4" ht="16.5" customHeight="1" x14ac:dyDescent="0.25">
      <c r="A1010" s="96" t="s">
        <v>1030</v>
      </c>
      <c r="B1010" s="68"/>
      <c r="C1010" s="97"/>
      <c r="D1010" s="68"/>
    </row>
    <row r="1011" spans="1:4" ht="16.5" customHeight="1" x14ac:dyDescent="0.25">
      <c r="A1011" s="96" t="s">
        <v>1031</v>
      </c>
      <c r="B1011" s="68"/>
      <c r="C1011" s="97"/>
      <c r="D1011" s="68"/>
    </row>
    <row r="1012" spans="1:4" ht="16.5" customHeight="1" x14ac:dyDescent="0.25">
      <c r="A1012" s="96" t="s">
        <v>1032</v>
      </c>
      <c r="B1012" s="68"/>
      <c r="C1012" s="97"/>
      <c r="D1012" s="68"/>
    </row>
    <row r="1013" spans="1:4" ht="16.5" customHeight="1" x14ac:dyDescent="0.25">
      <c r="A1013" s="96" t="s">
        <v>1033</v>
      </c>
      <c r="B1013" s="68"/>
      <c r="C1013" s="97"/>
      <c r="D1013" s="68"/>
    </row>
    <row r="1014" spans="1:4" ht="16.5" customHeight="1" x14ac:dyDescent="0.25">
      <c r="A1014" s="96" t="s">
        <v>1034</v>
      </c>
      <c r="B1014" s="68"/>
      <c r="C1014" s="97"/>
      <c r="D1014" s="68"/>
    </row>
    <row r="1015" spans="1:4" ht="16.5" customHeight="1" x14ac:dyDescent="0.25">
      <c r="A1015" s="96" t="s">
        <v>1035</v>
      </c>
      <c r="B1015" s="68"/>
      <c r="C1015" s="97"/>
      <c r="D1015" s="68"/>
    </row>
    <row r="1016" spans="1:4" ht="16.5" customHeight="1" x14ac:dyDescent="0.25">
      <c r="A1016" s="96" t="s">
        <v>1036</v>
      </c>
      <c r="B1016" s="68"/>
      <c r="C1016" s="97"/>
      <c r="D1016" s="68"/>
    </row>
    <row r="1017" spans="1:4" ht="16.5" customHeight="1" x14ac:dyDescent="0.25">
      <c r="A1017" s="96" t="s">
        <v>1037</v>
      </c>
      <c r="B1017" s="68"/>
      <c r="C1017" s="97"/>
      <c r="D1017" s="68"/>
    </row>
    <row r="1018" spans="1:4" ht="15.75" x14ac:dyDescent="0.25">
      <c r="A1018" s="94" t="s">
        <v>2200</v>
      </c>
      <c r="B1018" s="67">
        <v>3909</v>
      </c>
      <c r="C1018" s="75">
        <v>1838</v>
      </c>
      <c r="D1018" s="67" t="s">
        <v>1784</v>
      </c>
    </row>
    <row r="1019" spans="1:4" ht="15.75" x14ac:dyDescent="0.25">
      <c r="A1019" s="94" t="s">
        <v>3330</v>
      </c>
      <c r="B1019" s="67" t="s">
        <v>1897</v>
      </c>
      <c r="C1019" s="75">
        <v>46</v>
      </c>
      <c r="D1019" s="67" t="s">
        <v>1784</v>
      </c>
    </row>
    <row r="1020" spans="1:4" ht="15.75" x14ac:dyDescent="0.25">
      <c r="A1020" s="94" t="s">
        <v>3328</v>
      </c>
      <c r="B1020" s="67" t="s">
        <v>1895</v>
      </c>
      <c r="C1020" s="75">
        <v>46</v>
      </c>
      <c r="D1020" s="67" t="s">
        <v>1784</v>
      </c>
    </row>
    <row r="1021" spans="1:4" ht="15.75" x14ac:dyDescent="0.25">
      <c r="A1021" s="94" t="s">
        <v>3331</v>
      </c>
      <c r="B1021" s="67" t="s">
        <v>1898</v>
      </c>
      <c r="C1021" s="75">
        <v>46</v>
      </c>
      <c r="D1021" s="67" t="s">
        <v>1784</v>
      </c>
    </row>
    <row r="1022" spans="1:4" ht="15.75" x14ac:dyDescent="0.25">
      <c r="A1022" s="94" t="s">
        <v>3329</v>
      </c>
      <c r="B1022" s="67" t="s">
        <v>1896</v>
      </c>
      <c r="C1022" s="75">
        <v>46</v>
      </c>
      <c r="D1022" s="67" t="s">
        <v>1784</v>
      </c>
    </row>
    <row r="1023" spans="1:4" x14ac:dyDescent="0.25">
      <c r="A1023" s="91" t="s">
        <v>2786</v>
      </c>
      <c r="B1023" s="67" t="s">
        <v>1061</v>
      </c>
      <c r="C1023" s="74">
        <f>145.6*0.8*0.95</f>
        <v>110.65599999999999</v>
      </c>
      <c r="D1023" s="67" t="s">
        <v>1784</v>
      </c>
    </row>
    <row r="1024" spans="1:4" ht="15.75" x14ac:dyDescent="0.25">
      <c r="A1024" s="94" t="s">
        <v>3351</v>
      </c>
      <c r="B1024" s="67" t="s">
        <v>1918</v>
      </c>
      <c r="C1024" s="75">
        <v>60</v>
      </c>
      <c r="D1024" s="67" t="s">
        <v>1784</v>
      </c>
    </row>
    <row r="1025" spans="1:4" x14ac:dyDescent="0.25">
      <c r="A1025" s="92" t="s">
        <v>2770</v>
      </c>
      <c r="B1025" s="67" t="s">
        <v>1062</v>
      </c>
      <c r="C1025" s="74">
        <f>51.45*0.8*0.95</f>
        <v>39.102000000000004</v>
      </c>
      <c r="D1025" s="67" t="s">
        <v>1784</v>
      </c>
    </row>
    <row r="1026" spans="1:4" x14ac:dyDescent="0.25">
      <c r="A1026" s="92" t="s">
        <v>3289</v>
      </c>
      <c r="B1026" s="67" t="s">
        <v>1063</v>
      </c>
      <c r="C1026" s="74">
        <f>556.5*0.8*0.95</f>
        <v>422.94</v>
      </c>
      <c r="D1026" s="67" t="s">
        <v>1784</v>
      </c>
    </row>
    <row r="1027" spans="1:4" x14ac:dyDescent="0.25">
      <c r="A1027" s="91" t="s">
        <v>3293</v>
      </c>
      <c r="B1027" s="67" t="s">
        <v>1064</v>
      </c>
      <c r="C1027" s="74">
        <f>2369.5*0.8*0.95</f>
        <v>1800.82</v>
      </c>
      <c r="D1027" s="67" t="s">
        <v>1784</v>
      </c>
    </row>
    <row r="1028" spans="1:4" x14ac:dyDescent="0.25">
      <c r="A1028" s="91" t="s">
        <v>3292</v>
      </c>
      <c r="B1028" s="67" t="s">
        <v>1065</v>
      </c>
      <c r="C1028" s="74">
        <f>1256.5*0.8*0.95</f>
        <v>954.94</v>
      </c>
      <c r="D1028" s="67" t="s">
        <v>1784</v>
      </c>
    </row>
    <row r="1029" spans="1:4" x14ac:dyDescent="0.25">
      <c r="A1029" s="92" t="s">
        <v>2698</v>
      </c>
      <c r="B1029" s="67" t="s">
        <v>1066</v>
      </c>
      <c r="C1029" s="74">
        <f>573.99*0.8*0.95</f>
        <v>436.23239999999998</v>
      </c>
      <c r="D1029" s="67" t="s">
        <v>1784</v>
      </c>
    </row>
    <row r="1030" spans="1:4" x14ac:dyDescent="0.25">
      <c r="A1030" s="92" t="s">
        <v>2697</v>
      </c>
      <c r="B1030" s="67" t="s">
        <v>1067</v>
      </c>
      <c r="C1030" s="74">
        <f>558.94*0.8*0.95</f>
        <v>424.7944</v>
      </c>
      <c r="D1030" s="67" t="s">
        <v>1784</v>
      </c>
    </row>
    <row r="1031" spans="1:4" x14ac:dyDescent="0.25">
      <c r="A1031" s="92" t="s">
        <v>2705</v>
      </c>
      <c r="B1031" s="67" t="s">
        <v>1068</v>
      </c>
      <c r="C1031" s="74">
        <f>404.49*0.8*0.95</f>
        <v>307.41240000000005</v>
      </c>
      <c r="D1031" s="67" t="s">
        <v>1784</v>
      </c>
    </row>
    <row r="1032" spans="1:4" x14ac:dyDescent="0.25">
      <c r="A1032" s="92" t="s">
        <v>2706</v>
      </c>
      <c r="B1032" s="67" t="s">
        <v>1069</v>
      </c>
      <c r="C1032" s="74">
        <f>416.43*0.8*0.95</f>
        <v>316.48680000000002</v>
      </c>
      <c r="D1032" s="67" t="s">
        <v>1784</v>
      </c>
    </row>
    <row r="1033" spans="1:4" x14ac:dyDescent="0.25">
      <c r="A1033" s="91" t="s">
        <v>3264</v>
      </c>
      <c r="B1033" s="67" t="s">
        <v>1070</v>
      </c>
      <c r="C1033" s="74">
        <f>220.85*0.8*0.95</f>
        <v>167.846</v>
      </c>
      <c r="D1033" s="67" t="s">
        <v>1784</v>
      </c>
    </row>
    <row r="1034" spans="1:4" x14ac:dyDescent="0.25">
      <c r="A1034" s="91" t="s">
        <v>3265</v>
      </c>
      <c r="B1034" s="67" t="s">
        <v>1071</v>
      </c>
      <c r="C1034" s="74">
        <f>244.63*0.8*0.95</f>
        <v>185.9188</v>
      </c>
      <c r="D1034" s="67" t="s">
        <v>1784</v>
      </c>
    </row>
    <row r="1035" spans="1:4" x14ac:dyDescent="0.25">
      <c r="A1035" s="91" t="s">
        <v>3266</v>
      </c>
      <c r="B1035" s="67" t="s">
        <v>1072</v>
      </c>
      <c r="C1035" s="74">
        <f>299.09*0.8*0.95</f>
        <v>227.30839999999998</v>
      </c>
      <c r="D1035" s="67" t="s">
        <v>1784</v>
      </c>
    </row>
    <row r="1036" spans="1:4" x14ac:dyDescent="0.25">
      <c r="A1036" s="91" t="s">
        <v>3267</v>
      </c>
      <c r="B1036" s="67" t="s">
        <v>1073</v>
      </c>
      <c r="C1036" s="74">
        <f>331.4*0.8*0.95</f>
        <v>251.864</v>
      </c>
      <c r="D1036" s="67" t="s">
        <v>1784</v>
      </c>
    </row>
    <row r="1037" spans="1:4" x14ac:dyDescent="0.25">
      <c r="A1037" s="91" t="s">
        <v>3268</v>
      </c>
      <c r="B1037" s="67" t="s">
        <v>1074</v>
      </c>
      <c r="C1037" s="74">
        <f>394.86*0.8*0.95</f>
        <v>300.09360000000004</v>
      </c>
      <c r="D1037" s="67" t="s">
        <v>1784</v>
      </c>
    </row>
    <row r="1038" spans="1:4" x14ac:dyDescent="0.25">
      <c r="A1038" s="92" t="s">
        <v>2701</v>
      </c>
      <c r="B1038" s="67" t="s">
        <v>1075</v>
      </c>
      <c r="C1038" s="74">
        <f>805.8*0.8*0.95</f>
        <v>612.4079999999999</v>
      </c>
      <c r="D1038" s="67" t="s">
        <v>1784</v>
      </c>
    </row>
    <row r="1039" spans="1:4" x14ac:dyDescent="0.25">
      <c r="A1039" s="92" t="s">
        <v>2702</v>
      </c>
      <c r="B1039" s="67" t="s">
        <v>1076</v>
      </c>
      <c r="C1039" s="74">
        <f>824.25*0.8*0.95</f>
        <v>626.43000000000006</v>
      </c>
      <c r="D1039" s="67" t="s">
        <v>1784</v>
      </c>
    </row>
    <row r="1040" spans="1:4" x14ac:dyDescent="0.25">
      <c r="A1040" s="92" t="s">
        <v>2699</v>
      </c>
      <c r="B1040" s="67" t="s">
        <v>1077</v>
      </c>
      <c r="C1040" s="74">
        <f>475.57*0.8*0.95</f>
        <v>361.4332</v>
      </c>
      <c r="D1040" s="67" t="s">
        <v>1784</v>
      </c>
    </row>
    <row r="1041" spans="1:4" x14ac:dyDescent="0.25">
      <c r="A1041" s="92" t="s">
        <v>2700</v>
      </c>
      <c r="B1041" s="67" t="s">
        <v>1078</v>
      </c>
      <c r="C1041" s="74">
        <f>488.35*0.8*0.95</f>
        <v>371.14600000000002</v>
      </c>
      <c r="D1041" s="67" t="s">
        <v>1784</v>
      </c>
    </row>
    <row r="1042" spans="1:4" x14ac:dyDescent="0.25">
      <c r="A1042" s="92" t="s">
        <v>2695</v>
      </c>
      <c r="B1042" s="67" t="s">
        <v>1079</v>
      </c>
      <c r="C1042" s="74">
        <f>429.67*0.8*0.95</f>
        <v>326.54920000000004</v>
      </c>
      <c r="D1042" s="67" t="s">
        <v>1784</v>
      </c>
    </row>
    <row r="1043" spans="1:4" x14ac:dyDescent="0.25">
      <c r="A1043" s="92" t="s">
        <v>2696</v>
      </c>
      <c r="B1043" s="67" t="s">
        <v>1080</v>
      </c>
      <c r="C1043" s="74">
        <f>462.75*0.8*0.95</f>
        <v>351.69000000000005</v>
      </c>
      <c r="D1043" s="67" t="s">
        <v>1784</v>
      </c>
    </row>
    <row r="1044" spans="1:4" x14ac:dyDescent="0.25">
      <c r="A1044" s="92" t="s">
        <v>2703</v>
      </c>
      <c r="B1044" s="67" t="s">
        <v>1081</v>
      </c>
      <c r="C1044" s="74">
        <f>318.04*0.8*0.95</f>
        <v>241.71039999999999</v>
      </c>
      <c r="D1044" s="67" t="s">
        <v>1784</v>
      </c>
    </row>
    <row r="1045" spans="1:4" x14ac:dyDescent="0.25">
      <c r="A1045" s="92" t="s">
        <v>2704</v>
      </c>
      <c r="B1045" s="67" t="s">
        <v>1082</v>
      </c>
      <c r="C1045" s="74">
        <f>328.4*0.8*0.95</f>
        <v>249.58399999999995</v>
      </c>
      <c r="D1045" s="67" t="s">
        <v>1784</v>
      </c>
    </row>
    <row r="1046" spans="1:4" x14ac:dyDescent="0.25">
      <c r="A1046" s="92" t="s">
        <v>3224</v>
      </c>
      <c r="B1046" s="67" t="s">
        <v>1083</v>
      </c>
      <c r="C1046" s="74">
        <f>341.25*0.8*0.95</f>
        <v>259.34999999999997</v>
      </c>
      <c r="D1046" s="67" t="s">
        <v>1784</v>
      </c>
    </row>
    <row r="1047" spans="1:4" x14ac:dyDescent="0.25">
      <c r="A1047" s="92" t="s">
        <v>3219</v>
      </c>
      <c r="B1047" s="67" t="s">
        <v>1084</v>
      </c>
      <c r="C1047" s="74">
        <f>243.6*0.8*0.95</f>
        <v>185.136</v>
      </c>
      <c r="D1047" s="67" t="s">
        <v>1784</v>
      </c>
    </row>
    <row r="1048" spans="1:4" x14ac:dyDescent="0.25">
      <c r="A1048" s="92" t="s">
        <v>3225</v>
      </c>
      <c r="B1048" s="67" t="s">
        <v>1085</v>
      </c>
      <c r="C1048" s="74">
        <f>404.95*0.8*0.95</f>
        <v>307.762</v>
      </c>
      <c r="D1048" s="67" t="s">
        <v>1784</v>
      </c>
    </row>
    <row r="1049" spans="1:4" x14ac:dyDescent="0.25">
      <c r="A1049" s="92" t="s">
        <v>3220</v>
      </c>
      <c r="B1049" s="67" t="s">
        <v>1086</v>
      </c>
      <c r="C1049" s="74">
        <f>300.3*0.8*0.95</f>
        <v>228.22800000000001</v>
      </c>
      <c r="D1049" s="67" t="s">
        <v>1784</v>
      </c>
    </row>
    <row r="1050" spans="1:4" x14ac:dyDescent="0.25">
      <c r="A1050" s="92" t="s">
        <v>3221</v>
      </c>
      <c r="B1050" s="67" t="s">
        <v>1087</v>
      </c>
      <c r="C1050" s="74">
        <f>354.9*0.8*0.95</f>
        <v>269.72399999999999</v>
      </c>
      <c r="D1050" s="67" t="s">
        <v>1784</v>
      </c>
    </row>
    <row r="1051" spans="1:4" x14ac:dyDescent="0.25">
      <c r="A1051" s="92" t="s">
        <v>3226</v>
      </c>
      <c r="B1051" s="67" t="s">
        <v>1088</v>
      </c>
      <c r="C1051" s="74">
        <f>482.3*0.8*0.95</f>
        <v>366.548</v>
      </c>
      <c r="D1051" s="67" t="s">
        <v>1784</v>
      </c>
    </row>
    <row r="1052" spans="1:4" x14ac:dyDescent="0.25">
      <c r="A1052" s="92" t="s">
        <v>3222</v>
      </c>
      <c r="B1052" s="67" t="s">
        <v>1089</v>
      </c>
      <c r="C1052" s="74">
        <f>477.75*0.8*0.95</f>
        <v>363.09000000000003</v>
      </c>
      <c r="D1052" s="67" t="s">
        <v>1784</v>
      </c>
    </row>
    <row r="1053" spans="1:4" x14ac:dyDescent="0.25">
      <c r="A1053" s="92" t="s">
        <v>3227</v>
      </c>
      <c r="B1053" s="67" t="s">
        <v>1090</v>
      </c>
      <c r="C1053" s="74">
        <f>641.55*0.8*0.95</f>
        <v>487.57799999999997</v>
      </c>
      <c r="D1053" s="67" t="s">
        <v>1784</v>
      </c>
    </row>
    <row r="1054" spans="1:4" x14ac:dyDescent="0.25">
      <c r="A1054" s="92" t="s">
        <v>3228</v>
      </c>
      <c r="B1054" s="67" t="s">
        <v>1091</v>
      </c>
      <c r="C1054" s="74">
        <f>814.45*0.8*0.95</f>
        <v>618.98199999999997</v>
      </c>
      <c r="D1054" s="67" t="s">
        <v>1784</v>
      </c>
    </row>
    <row r="1055" spans="1:4" x14ac:dyDescent="0.25">
      <c r="A1055" s="92" t="s">
        <v>3223</v>
      </c>
      <c r="B1055" s="67" t="s">
        <v>1092</v>
      </c>
      <c r="C1055" s="74">
        <f>596.05*0.8*0.95</f>
        <v>452.99799999999993</v>
      </c>
      <c r="D1055" s="67" t="s">
        <v>1784</v>
      </c>
    </row>
    <row r="1056" spans="1:4" x14ac:dyDescent="0.25">
      <c r="A1056" s="91" t="s">
        <v>3237</v>
      </c>
      <c r="B1056" s="67" t="s">
        <v>1093</v>
      </c>
      <c r="C1056" s="74">
        <f>209.3*0.8*0.95</f>
        <v>159.06800000000001</v>
      </c>
      <c r="D1056" s="67" t="s">
        <v>1784</v>
      </c>
    </row>
    <row r="1057" spans="1:4" x14ac:dyDescent="0.25">
      <c r="A1057" s="91" t="s">
        <v>3239</v>
      </c>
      <c r="B1057" s="67" t="s">
        <v>1094</v>
      </c>
      <c r="C1057" s="74">
        <f>312.73*0.8*0.95</f>
        <v>237.6748</v>
      </c>
      <c r="D1057" s="67" t="s">
        <v>1784</v>
      </c>
    </row>
    <row r="1058" spans="1:4" x14ac:dyDescent="0.25">
      <c r="A1058" s="91" t="s">
        <v>3238</v>
      </c>
      <c r="B1058" s="67" t="s">
        <v>1095</v>
      </c>
      <c r="C1058" s="74">
        <f>312.73*0.8*0.95</f>
        <v>237.6748</v>
      </c>
      <c r="D1058" s="67" t="s">
        <v>1784</v>
      </c>
    </row>
    <row r="1059" spans="1:4" x14ac:dyDescent="0.25">
      <c r="A1059" s="91" t="s">
        <v>3246</v>
      </c>
      <c r="B1059" s="67" t="s">
        <v>1096</v>
      </c>
      <c r="C1059" s="74">
        <f>515.9*0.8*0.95</f>
        <v>392.084</v>
      </c>
      <c r="D1059" s="67" t="s">
        <v>1784</v>
      </c>
    </row>
    <row r="1060" spans="1:4" x14ac:dyDescent="0.25">
      <c r="A1060" s="91" t="s">
        <v>3243</v>
      </c>
      <c r="B1060" s="67" t="s">
        <v>1097</v>
      </c>
      <c r="C1060" s="74">
        <f>371*0.8*0.95</f>
        <v>281.95999999999998</v>
      </c>
      <c r="D1060" s="67" t="s">
        <v>1784</v>
      </c>
    </row>
    <row r="1061" spans="1:4" x14ac:dyDescent="0.25">
      <c r="A1061" s="91" t="s">
        <v>3244</v>
      </c>
      <c r="B1061" s="67" t="s">
        <v>1098</v>
      </c>
      <c r="C1061" s="74">
        <f>371*0.8*0.95</f>
        <v>281.95999999999998</v>
      </c>
      <c r="D1061" s="67" t="s">
        <v>1784</v>
      </c>
    </row>
    <row r="1062" spans="1:4" x14ac:dyDescent="0.25">
      <c r="A1062" s="91" t="s">
        <v>3242</v>
      </c>
      <c r="B1062" s="67" t="s">
        <v>1099</v>
      </c>
      <c r="C1062" s="74">
        <f>276.5*0.8*0.95</f>
        <v>210.14000000000001</v>
      </c>
      <c r="D1062" s="67" t="s">
        <v>1784</v>
      </c>
    </row>
    <row r="1063" spans="1:4" x14ac:dyDescent="0.25">
      <c r="A1063" s="91" t="s">
        <v>3240</v>
      </c>
      <c r="B1063" s="67" t="s">
        <v>1100</v>
      </c>
      <c r="C1063" s="74">
        <f>381.15*0.8*0.95</f>
        <v>289.67399999999998</v>
      </c>
      <c r="D1063" s="67" t="s">
        <v>1784</v>
      </c>
    </row>
    <row r="1064" spans="1:4" x14ac:dyDescent="0.25">
      <c r="A1064" s="91" t="s">
        <v>3245</v>
      </c>
      <c r="B1064" s="67" t="s">
        <v>1101</v>
      </c>
      <c r="C1064" s="74">
        <f>515.9*0.8*0.95</f>
        <v>392.084</v>
      </c>
      <c r="D1064" s="67" t="s">
        <v>1784</v>
      </c>
    </row>
    <row r="1065" spans="1:4" x14ac:dyDescent="0.25">
      <c r="A1065" s="91" t="s">
        <v>3241</v>
      </c>
      <c r="B1065" s="67" t="s">
        <v>1102</v>
      </c>
      <c r="C1065" s="74">
        <f>381.15*0.8*0.95</f>
        <v>289.67399999999998</v>
      </c>
      <c r="D1065" s="67" t="s">
        <v>1784</v>
      </c>
    </row>
    <row r="1066" spans="1:4" ht="15.75" x14ac:dyDescent="0.25">
      <c r="A1066" s="94" t="s">
        <v>2132</v>
      </c>
      <c r="B1066" s="67">
        <v>4409</v>
      </c>
      <c r="C1066" s="75">
        <v>3836</v>
      </c>
      <c r="D1066" s="67" t="s">
        <v>1784</v>
      </c>
    </row>
    <row r="1067" spans="1:4" ht="15.75" x14ac:dyDescent="0.25">
      <c r="A1067" s="94" t="s">
        <v>2133</v>
      </c>
      <c r="B1067" s="67">
        <v>4990</v>
      </c>
      <c r="C1067" s="75">
        <v>960</v>
      </c>
      <c r="D1067" s="67" t="s">
        <v>1784</v>
      </c>
    </row>
    <row r="1068" spans="1:4" ht="15.75" x14ac:dyDescent="0.25">
      <c r="A1068" s="94" t="s">
        <v>2441</v>
      </c>
      <c r="B1068" s="67">
        <v>5121</v>
      </c>
      <c r="C1068" s="75">
        <v>3044</v>
      </c>
      <c r="D1068" s="67" t="s">
        <v>1784</v>
      </c>
    </row>
    <row r="1069" spans="1:4" ht="15.75" x14ac:dyDescent="0.25">
      <c r="A1069" s="94" t="s">
        <v>2442</v>
      </c>
      <c r="B1069" s="67">
        <v>5120</v>
      </c>
      <c r="C1069" s="75">
        <v>4599</v>
      </c>
      <c r="D1069" s="67" t="s">
        <v>1784</v>
      </c>
    </row>
    <row r="1070" spans="1:4" ht="15.75" x14ac:dyDescent="0.25">
      <c r="A1070" s="94" t="s">
        <v>2443</v>
      </c>
      <c r="B1070" s="67">
        <v>4446</v>
      </c>
      <c r="C1070" s="75">
        <v>4941</v>
      </c>
      <c r="D1070" s="67" t="s">
        <v>1784</v>
      </c>
    </row>
    <row r="1071" spans="1:4" ht="15.75" x14ac:dyDescent="0.25">
      <c r="A1071" s="94" t="s">
        <v>2134</v>
      </c>
      <c r="B1071" s="67">
        <v>4514</v>
      </c>
      <c r="C1071" s="75">
        <v>5723</v>
      </c>
      <c r="D1071" s="67" t="s">
        <v>1784</v>
      </c>
    </row>
    <row r="1072" spans="1:4" ht="15.75" x14ac:dyDescent="0.25">
      <c r="A1072" s="94" t="s">
        <v>1951</v>
      </c>
      <c r="B1072" s="67">
        <v>3160</v>
      </c>
      <c r="C1072" s="75">
        <v>1276</v>
      </c>
      <c r="D1072" s="67" t="s">
        <v>1784</v>
      </c>
    </row>
    <row r="1073" spans="1:4" ht="15.75" x14ac:dyDescent="0.25">
      <c r="A1073" s="94" t="s">
        <v>1952</v>
      </c>
      <c r="B1073" s="67">
        <v>2565</v>
      </c>
      <c r="C1073" s="75">
        <v>1978</v>
      </c>
      <c r="D1073" s="67" t="s">
        <v>1784</v>
      </c>
    </row>
    <row r="1074" spans="1:4" ht="15.75" x14ac:dyDescent="0.25">
      <c r="A1074" s="94" t="s">
        <v>1953</v>
      </c>
      <c r="B1074" s="67">
        <v>2634</v>
      </c>
      <c r="C1074" s="75">
        <v>590</v>
      </c>
      <c r="D1074" s="67" t="s">
        <v>1784</v>
      </c>
    </row>
    <row r="1075" spans="1:4" ht="15.75" x14ac:dyDescent="0.25">
      <c r="A1075" s="94" t="s">
        <v>1954</v>
      </c>
      <c r="B1075" s="67">
        <v>2633</v>
      </c>
      <c r="C1075" s="75">
        <v>4610</v>
      </c>
      <c r="D1075" s="67" t="s">
        <v>1784</v>
      </c>
    </row>
    <row r="1076" spans="1:4" ht="15.75" x14ac:dyDescent="0.25">
      <c r="A1076" s="94" t="s">
        <v>1955</v>
      </c>
      <c r="B1076" s="67">
        <v>2637</v>
      </c>
      <c r="C1076" s="75">
        <v>3228</v>
      </c>
      <c r="D1076" s="67" t="s">
        <v>1784</v>
      </c>
    </row>
    <row r="1077" spans="1:4" ht="15.75" x14ac:dyDescent="0.25">
      <c r="A1077" s="94" t="s">
        <v>2041</v>
      </c>
      <c r="B1077" s="67">
        <v>3309</v>
      </c>
      <c r="C1077" s="75">
        <v>4652</v>
      </c>
      <c r="D1077" s="67" t="s">
        <v>1784</v>
      </c>
    </row>
    <row r="1078" spans="1:4" ht="15.75" x14ac:dyDescent="0.25">
      <c r="A1078" s="94" t="s">
        <v>2042</v>
      </c>
      <c r="B1078" s="67">
        <v>5422</v>
      </c>
      <c r="C1078" s="75">
        <v>2378</v>
      </c>
      <c r="D1078" s="67" t="s">
        <v>1784</v>
      </c>
    </row>
    <row r="1079" spans="1:4" ht="15.75" x14ac:dyDescent="0.25">
      <c r="A1079" s="94" t="s">
        <v>2043</v>
      </c>
      <c r="B1079" s="67">
        <v>2973</v>
      </c>
      <c r="C1079" s="75">
        <v>4805</v>
      </c>
      <c r="D1079" s="67" t="s">
        <v>1784</v>
      </c>
    </row>
    <row r="1080" spans="1:4" ht="15.75" x14ac:dyDescent="0.25">
      <c r="A1080" s="94" t="s">
        <v>2044</v>
      </c>
      <c r="B1080" s="67">
        <v>3113</v>
      </c>
      <c r="C1080" s="75">
        <v>1892</v>
      </c>
      <c r="D1080" s="67" t="s">
        <v>1784</v>
      </c>
    </row>
    <row r="1081" spans="1:4" ht="15.75" x14ac:dyDescent="0.25">
      <c r="A1081" s="94" t="s">
        <v>2045</v>
      </c>
      <c r="B1081" s="67">
        <v>3003</v>
      </c>
      <c r="C1081" s="75">
        <v>3204</v>
      </c>
      <c r="D1081" s="67" t="s">
        <v>1784</v>
      </c>
    </row>
    <row r="1082" spans="1:4" ht="15.75" x14ac:dyDescent="0.25">
      <c r="A1082" s="94" t="s">
        <v>2046</v>
      </c>
      <c r="B1082" s="67">
        <v>2846</v>
      </c>
      <c r="C1082" s="75">
        <v>3046</v>
      </c>
      <c r="D1082" s="67" t="s">
        <v>1784</v>
      </c>
    </row>
    <row r="1083" spans="1:4" ht="15.75" x14ac:dyDescent="0.25">
      <c r="A1083" s="94" t="s">
        <v>2047</v>
      </c>
      <c r="B1083" s="67">
        <v>3292</v>
      </c>
      <c r="C1083" s="75">
        <v>1678</v>
      </c>
      <c r="D1083" s="67" t="s">
        <v>1784</v>
      </c>
    </row>
    <row r="1084" spans="1:4" ht="15.75" x14ac:dyDescent="0.25">
      <c r="A1084" s="94" t="s">
        <v>2048</v>
      </c>
      <c r="B1084" s="67">
        <v>3321</v>
      </c>
      <c r="C1084" s="75">
        <v>4342</v>
      </c>
      <c r="D1084" s="67" t="s">
        <v>1784</v>
      </c>
    </row>
    <row r="1085" spans="1:4" ht="15.75" x14ac:dyDescent="0.25">
      <c r="A1085" s="94" t="s">
        <v>2444</v>
      </c>
      <c r="B1085" s="67">
        <v>4756</v>
      </c>
      <c r="C1085" s="75">
        <v>3341</v>
      </c>
      <c r="D1085" s="67" t="s">
        <v>1784</v>
      </c>
    </row>
    <row r="1086" spans="1:4" ht="15.75" x14ac:dyDescent="0.25">
      <c r="A1086" s="94" t="s">
        <v>2135</v>
      </c>
      <c r="B1086" s="67">
        <v>2613</v>
      </c>
      <c r="C1086" s="75">
        <v>2245</v>
      </c>
      <c r="D1086" s="67" t="s">
        <v>1784</v>
      </c>
    </row>
    <row r="1087" spans="1:4" ht="15.75" x14ac:dyDescent="0.25">
      <c r="A1087" s="94" t="s">
        <v>2445</v>
      </c>
      <c r="B1087" s="67">
        <v>4998</v>
      </c>
      <c r="C1087" s="75">
        <v>6391</v>
      </c>
      <c r="D1087" s="67" t="s">
        <v>1784</v>
      </c>
    </row>
    <row r="1088" spans="1:4" ht="15.75" x14ac:dyDescent="0.25">
      <c r="A1088" s="94" t="s">
        <v>2446</v>
      </c>
      <c r="B1088" s="67">
        <v>4995</v>
      </c>
      <c r="C1088" s="75">
        <v>7017</v>
      </c>
      <c r="D1088" s="67" t="s">
        <v>1784</v>
      </c>
    </row>
    <row r="1089" spans="1:4" ht="15.75" x14ac:dyDescent="0.25">
      <c r="A1089" s="94" t="s">
        <v>2136</v>
      </c>
      <c r="B1089" s="67">
        <v>2002</v>
      </c>
      <c r="C1089" s="75">
        <v>4783</v>
      </c>
      <c r="D1089" s="67" t="s">
        <v>1784</v>
      </c>
    </row>
    <row r="1090" spans="1:4" ht="15.75" x14ac:dyDescent="0.25">
      <c r="A1090" s="94" t="s">
        <v>2137</v>
      </c>
      <c r="B1090" s="67">
        <v>893</v>
      </c>
      <c r="C1090" s="75">
        <v>1029</v>
      </c>
      <c r="D1090" s="67" t="s">
        <v>1784</v>
      </c>
    </row>
    <row r="1091" spans="1:4" ht="15.75" x14ac:dyDescent="0.25">
      <c r="A1091" s="94" t="s">
        <v>2447</v>
      </c>
      <c r="B1091" s="67">
        <v>4933</v>
      </c>
      <c r="C1091" s="75">
        <v>13504</v>
      </c>
      <c r="D1091" s="67" t="s">
        <v>1784</v>
      </c>
    </row>
    <row r="1092" spans="1:4" ht="15.75" x14ac:dyDescent="0.25">
      <c r="A1092" s="94" t="s">
        <v>2138</v>
      </c>
      <c r="B1092" s="67">
        <v>4932</v>
      </c>
      <c r="C1092" s="75">
        <v>11964</v>
      </c>
      <c r="D1092" s="67" t="s">
        <v>1784</v>
      </c>
    </row>
    <row r="1093" spans="1:4" ht="15.75" x14ac:dyDescent="0.25">
      <c r="A1093" s="94" t="s">
        <v>2139</v>
      </c>
      <c r="B1093" s="67">
        <v>1198</v>
      </c>
      <c r="C1093" s="75">
        <v>2363</v>
      </c>
      <c r="D1093" s="67" t="s">
        <v>1784</v>
      </c>
    </row>
    <row r="1094" spans="1:4" ht="15.75" x14ac:dyDescent="0.25">
      <c r="A1094" s="94" t="s">
        <v>2140</v>
      </c>
      <c r="B1094" s="67">
        <v>1364</v>
      </c>
      <c r="C1094" s="75">
        <v>1573</v>
      </c>
      <c r="D1094" s="67" t="s">
        <v>1784</v>
      </c>
    </row>
    <row r="1095" spans="1:4" ht="15.75" x14ac:dyDescent="0.25">
      <c r="A1095" s="94" t="s">
        <v>2141</v>
      </c>
      <c r="B1095" s="67">
        <v>1191</v>
      </c>
      <c r="C1095" s="75">
        <v>2155</v>
      </c>
      <c r="D1095" s="67" t="s">
        <v>1784</v>
      </c>
    </row>
    <row r="1096" spans="1:4" ht="15.75" x14ac:dyDescent="0.25">
      <c r="A1096" s="94" t="s">
        <v>2142</v>
      </c>
      <c r="B1096" s="67">
        <v>1289</v>
      </c>
      <c r="C1096" s="75">
        <v>3325</v>
      </c>
      <c r="D1096" s="67" t="s">
        <v>1784</v>
      </c>
    </row>
    <row r="1097" spans="1:4" ht="15.75" x14ac:dyDescent="0.25">
      <c r="A1097" s="94" t="s">
        <v>2143</v>
      </c>
      <c r="B1097" s="67">
        <v>2717</v>
      </c>
      <c r="C1097" s="75">
        <v>2880</v>
      </c>
      <c r="D1097" s="67" t="s">
        <v>1784</v>
      </c>
    </row>
    <row r="1098" spans="1:4" ht="15.75" x14ac:dyDescent="0.25">
      <c r="A1098" s="94" t="s">
        <v>2324</v>
      </c>
      <c r="B1098" s="67">
        <v>4364</v>
      </c>
      <c r="C1098" s="75">
        <v>5324</v>
      </c>
      <c r="D1098" s="67" t="s">
        <v>1784</v>
      </c>
    </row>
    <row r="1099" spans="1:4" ht="15.75" x14ac:dyDescent="0.25">
      <c r="A1099" s="94" t="s">
        <v>1926</v>
      </c>
      <c r="B1099" s="67">
        <v>4587</v>
      </c>
      <c r="C1099" s="75">
        <v>4026</v>
      </c>
      <c r="D1099" s="67" t="s">
        <v>1784</v>
      </c>
    </row>
    <row r="1100" spans="1:4" ht="15.75" x14ac:dyDescent="0.25">
      <c r="A1100" s="94" t="s">
        <v>1927</v>
      </c>
      <c r="B1100" s="67">
        <v>4385</v>
      </c>
      <c r="C1100" s="75">
        <v>2212</v>
      </c>
      <c r="D1100" s="67" t="s">
        <v>1784</v>
      </c>
    </row>
    <row r="1101" spans="1:4" ht="15.75" x14ac:dyDescent="0.25">
      <c r="A1101" s="94" t="s">
        <v>1928</v>
      </c>
      <c r="B1101" s="67">
        <v>4381</v>
      </c>
      <c r="C1101" s="75">
        <v>3100</v>
      </c>
      <c r="D1101" s="67" t="s">
        <v>1784</v>
      </c>
    </row>
    <row r="1102" spans="1:4" ht="15.75" x14ac:dyDescent="0.25">
      <c r="A1102" s="94" t="s">
        <v>1929</v>
      </c>
      <c r="B1102" s="67">
        <v>4310</v>
      </c>
      <c r="C1102" s="75">
        <v>5019</v>
      </c>
      <c r="D1102" s="67" t="s">
        <v>1784</v>
      </c>
    </row>
    <row r="1103" spans="1:4" ht="15.75" x14ac:dyDescent="0.25">
      <c r="A1103" s="94" t="s">
        <v>1930</v>
      </c>
      <c r="B1103" s="67">
        <v>4787</v>
      </c>
      <c r="C1103" s="75">
        <v>4331</v>
      </c>
      <c r="D1103" s="67" t="s">
        <v>1784</v>
      </c>
    </row>
    <row r="1104" spans="1:4" ht="15.75" x14ac:dyDescent="0.25">
      <c r="A1104" s="94" t="s">
        <v>1931</v>
      </c>
      <c r="B1104" s="67">
        <v>4780</v>
      </c>
      <c r="C1104" s="75">
        <v>1999</v>
      </c>
      <c r="D1104" s="67" t="s">
        <v>1784</v>
      </c>
    </row>
    <row r="1105" spans="1:4" ht="15.75" x14ac:dyDescent="0.25">
      <c r="A1105" s="94" t="s">
        <v>1932</v>
      </c>
      <c r="B1105" s="67">
        <v>4113</v>
      </c>
      <c r="C1105" s="75">
        <v>9149</v>
      </c>
      <c r="D1105" s="67" t="s">
        <v>1784</v>
      </c>
    </row>
    <row r="1106" spans="1:4" ht="15.75" x14ac:dyDescent="0.25">
      <c r="A1106" s="94" t="s">
        <v>3336</v>
      </c>
      <c r="B1106" s="67" t="s">
        <v>1903</v>
      </c>
      <c r="C1106" s="75">
        <v>1732</v>
      </c>
      <c r="D1106" s="67" t="s">
        <v>1784</v>
      </c>
    </row>
    <row r="1107" spans="1:4" ht="15.75" x14ac:dyDescent="0.25">
      <c r="A1107" s="94" t="s">
        <v>3334</v>
      </c>
      <c r="B1107" s="67" t="s">
        <v>1901</v>
      </c>
      <c r="C1107" s="75">
        <v>2050</v>
      </c>
      <c r="D1107" s="67" t="s">
        <v>1784</v>
      </c>
    </row>
    <row r="1108" spans="1:4" ht="15.75" x14ac:dyDescent="0.25">
      <c r="A1108" s="94" t="s">
        <v>3332</v>
      </c>
      <c r="B1108" s="67" t="s">
        <v>1899</v>
      </c>
      <c r="C1108" s="75">
        <v>1680</v>
      </c>
      <c r="D1108" s="67" t="s">
        <v>1784</v>
      </c>
    </row>
    <row r="1109" spans="1:4" ht="15.75" x14ac:dyDescent="0.25">
      <c r="A1109" s="94" t="s">
        <v>3335</v>
      </c>
      <c r="B1109" s="67" t="s">
        <v>1902</v>
      </c>
      <c r="C1109" s="75">
        <v>1815</v>
      </c>
      <c r="D1109" s="67" t="s">
        <v>1784</v>
      </c>
    </row>
    <row r="1110" spans="1:4" ht="15.75" x14ac:dyDescent="0.25">
      <c r="A1110" s="94" t="s">
        <v>3333</v>
      </c>
      <c r="B1110" s="67" t="s">
        <v>1900</v>
      </c>
      <c r="C1110" s="75">
        <v>1215</v>
      </c>
      <c r="D1110" s="67" t="s">
        <v>1784</v>
      </c>
    </row>
    <row r="1111" spans="1:4" ht="15.75" x14ac:dyDescent="0.25">
      <c r="A1111" s="94" t="s">
        <v>3337</v>
      </c>
      <c r="B1111" s="67" t="s">
        <v>1904</v>
      </c>
      <c r="C1111" s="75">
        <v>4.0999999999999996</v>
      </c>
      <c r="D1111" s="67" t="s">
        <v>1784</v>
      </c>
    </row>
    <row r="1112" spans="1:4" x14ac:dyDescent="0.25">
      <c r="A1112" s="92" t="s">
        <v>3119</v>
      </c>
      <c r="B1112" s="67" t="s">
        <v>1103</v>
      </c>
      <c r="C1112" s="74">
        <f>1185.8*0.8*0.95</f>
        <v>901.20799999999997</v>
      </c>
      <c r="D1112" s="67" t="s">
        <v>1784</v>
      </c>
    </row>
    <row r="1113" spans="1:4" x14ac:dyDescent="0.25">
      <c r="A1113" s="92" t="s">
        <v>3118</v>
      </c>
      <c r="B1113" s="67" t="s">
        <v>1104</v>
      </c>
      <c r="C1113" s="74">
        <f>1462.83*0.8*0.95</f>
        <v>1111.7507999999998</v>
      </c>
      <c r="D1113" s="67" t="s">
        <v>1784</v>
      </c>
    </row>
    <row r="1114" spans="1:4" x14ac:dyDescent="0.25">
      <c r="A1114" s="91" t="s">
        <v>3127</v>
      </c>
      <c r="B1114" s="67" t="s">
        <v>1105</v>
      </c>
      <c r="C1114" s="74">
        <f>1618.43*0.8*0.95</f>
        <v>1230.0068000000001</v>
      </c>
      <c r="D1114" s="67" t="s">
        <v>1784</v>
      </c>
    </row>
    <row r="1115" spans="1:4" x14ac:dyDescent="0.25">
      <c r="A1115" s="91" t="s">
        <v>3126</v>
      </c>
      <c r="B1115" s="67" t="s">
        <v>1106</v>
      </c>
      <c r="C1115" s="74">
        <f>838.21*0.8*0.95</f>
        <v>637.03960000000006</v>
      </c>
      <c r="D1115" s="67" t="s">
        <v>1784</v>
      </c>
    </row>
    <row r="1116" spans="1:4" x14ac:dyDescent="0.25">
      <c r="A1116" s="91" t="s">
        <v>3125</v>
      </c>
      <c r="B1116" s="67" t="s">
        <v>1107</v>
      </c>
      <c r="C1116" s="74">
        <f>1228.32*0.8*0.95</f>
        <v>933.52319999999986</v>
      </c>
      <c r="D1116" s="67" t="s">
        <v>1784</v>
      </c>
    </row>
    <row r="1117" spans="1:4" x14ac:dyDescent="0.25">
      <c r="A1117" s="91" t="s">
        <v>3124</v>
      </c>
      <c r="B1117" s="67" t="s">
        <v>1108</v>
      </c>
      <c r="C1117" s="74">
        <f>1618.43*0.8*0.95</f>
        <v>1230.0068000000001</v>
      </c>
      <c r="D1117" s="67" t="s">
        <v>1784</v>
      </c>
    </row>
    <row r="1118" spans="1:4" x14ac:dyDescent="0.25">
      <c r="A1118" s="91" t="s">
        <v>3122</v>
      </c>
      <c r="B1118" s="67" t="s">
        <v>1109</v>
      </c>
      <c r="C1118" s="74">
        <f>948.15*0.8*0.95</f>
        <v>720.59399999999994</v>
      </c>
      <c r="D1118" s="67" t="s">
        <v>1784</v>
      </c>
    </row>
    <row r="1119" spans="1:4" x14ac:dyDescent="0.25">
      <c r="A1119" s="91" t="s">
        <v>3130</v>
      </c>
      <c r="B1119" s="67" t="s">
        <v>1110</v>
      </c>
      <c r="C1119" s="74">
        <f>1743*0.8*0.95</f>
        <v>1324.68</v>
      </c>
      <c r="D1119" s="67" t="s">
        <v>1784</v>
      </c>
    </row>
    <row r="1120" spans="1:4" x14ac:dyDescent="0.25">
      <c r="A1120" s="91" t="s">
        <v>3129</v>
      </c>
      <c r="B1120" s="67" t="s">
        <v>1111</v>
      </c>
      <c r="C1120" s="74">
        <f>954.35*0.8*0.95</f>
        <v>725.30600000000004</v>
      </c>
      <c r="D1120" s="67" t="s">
        <v>1784</v>
      </c>
    </row>
    <row r="1121" spans="1:4" x14ac:dyDescent="0.25">
      <c r="A1121" s="91" t="s">
        <v>3128</v>
      </c>
      <c r="B1121" s="67" t="s">
        <v>1112</v>
      </c>
      <c r="C1121" s="74">
        <f>1070.5*0.8*0.95</f>
        <v>813.58</v>
      </c>
      <c r="D1121" s="67" t="s">
        <v>1784</v>
      </c>
    </row>
    <row r="1122" spans="1:4" x14ac:dyDescent="0.25">
      <c r="A1122" s="91" t="s">
        <v>3123</v>
      </c>
      <c r="B1122" s="67" t="s">
        <v>1113</v>
      </c>
      <c r="C1122" s="74">
        <f>788.55*0.8*0.95</f>
        <v>599.298</v>
      </c>
      <c r="D1122" s="67" t="s">
        <v>1784</v>
      </c>
    </row>
    <row r="1123" spans="1:4" x14ac:dyDescent="0.25">
      <c r="A1123" s="92" t="s">
        <v>3120</v>
      </c>
      <c r="B1123" s="67" t="s">
        <v>1114</v>
      </c>
      <c r="C1123" s="74">
        <f>1459.5*0.8*0.95</f>
        <v>1109.22</v>
      </c>
      <c r="D1123" s="67" t="s">
        <v>1784</v>
      </c>
    </row>
    <row r="1124" spans="1:4" x14ac:dyDescent="0.25">
      <c r="A1124" s="91" t="s">
        <v>3121</v>
      </c>
      <c r="B1124" s="67" t="s">
        <v>1115</v>
      </c>
      <c r="C1124" s="74">
        <f>1293.6*0.8*0.95</f>
        <v>983.13599999999985</v>
      </c>
      <c r="D1124" s="67" t="s">
        <v>1784</v>
      </c>
    </row>
    <row r="1125" spans="1:4" x14ac:dyDescent="0.25">
      <c r="A1125" s="92" t="s">
        <v>3280</v>
      </c>
      <c r="B1125" s="67" t="s">
        <v>1116</v>
      </c>
      <c r="C1125" s="74">
        <f>2058.02*0.8*0.95</f>
        <v>1564.0952</v>
      </c>
      <c r="D1125" s="67" t="s">
        <v>1784</v>
      </c>
    </row>
    <row r="1126" spans="1:4" x14ac:dyDescent="0.25">
      <c r="A1126" s="92" t="s">
        <v>3281</v>
      </c>
      <c r="B1126" s="67" t="s">
        <v>1117</v>
      </c>
      <c r="C1126" s="74">
        <f>2365.37*0.8*0.95</f>
        <v>1797.6812</v>
      </c>
      <c r="D1126" s="67" t="s">
        <v>1784</v>
      </c>
    </row>
    <row r="1127" spans="1:4" x14ac:dyDescent="0.25">
      <c r="A1127" s="91" t="s">
        <v>2760</v>
      </c>
      <c r="B1127" s="67" t="s">
        <v>1118</v>
      </c>
      <c r="C1127" s="74">
        <f>587.73*0.8*0.95</f>
        <v>446.6748</v>
      </c>
      <c r="D1127" s="67" t="s">
        <v>1784</v>
      </c>
    </row>
    <row r="1128" spans="1:4" x14ac:dyDescent="0.25">
      <c r="A1128" s="91" t="s">
        <v>2763</v>
      </c>
      <c r="B1128" s="67" t="s">
        <v>1119</v>
      </c>
      <c r="C1128" s="74">
        <f>574.37*0.8*0.95</f>
        <v>436.52120000000002</v>
      </c>
      <c r="D1128" s="67" t="s">
        <v>1784</v>
      </c>
    </row>
    <row r="1129" spans="1:4" x14ac:dyDescent="0.25">
      <c r="A1129" s="91" t="s">
        <v>2762</v>
      </c>
      <c r="B1129" s="67" t="s">
        <v>1120</v>
      </c>
      <c r="C1129" s="74">
        <f>574.37*0.8*0.95</f>
        <v>436.52120000000002</v>
      </c>
      <c r="D1129" s="67" t="s">
        <v>1784</v>
      </c>
    </row>
    <row r="1130" spans="1:4" x14ac:dyDescent="0.25">
      <c r="A1130" s="91" t="s">
        <v>2761</v>
      </c>
      <c r="B1130" s="67" t="s">
        <v>1121</v>
      </c>
      <c r="C1130" s="74">
        <f>587.73*0.8*0.95</f>
        <v>446.6748</v>
      </c>
      <c r="D1130" s="67" t="s">
        <v>1784</v>
      </c>
    </row>
    <row r="1131" spans="1:4" x14ac:dyDescent="0.25">
      <c r="A1131" s="91" t="s">
        <v>2764</v>
      </c>
      <c r="B1131" s="67" t="s">
        <v>1122</v>
      </c>
      <c r="C1131" s="74">
        <f>382.92*0.8*0.95</f>
        <v>291.01920000000001</v>
      </c>
      <c r="D1131" s="67" t="s">
        <v>1784</v>
      </c>
    </row>
    <row r="1132" spans="1:4" x14ac:dyDescent="0.25">
      <c r="A1132" s="91" t="s">
        <v>2765</v>
      </c>
      <c r="B1132" s="67" t="s">
        <v>1123</v>
      </c>
      <c r="C1132" s="74">
        <f>401.75*0.8*0.95</f>
        <v>305.33000000000004</v>
      </c>
      <c r="D1132" s="67" t="s">
        <v>1784</v>
      </c>
    </row>
    <row r="1133" spans="1:4" x14ac:dyDescent="0.25">
      <c r="A1133" s="91" t="s">
        <v>3282</v>
      </c>
      <c r="B1133" s="67" t="s">
        <v>1124</v>
      </c>
      <c r="C1133" s="74">
        <f>323.23*0.8*0.95</f>
        <v>245.65479999999999</v>
      </c>
      <c r="D1133" s="67" t="s">
        <v>1784</v>
      </c>
    </row>
    <row r="1134" spans="1:4" x14ac:dyDescent="0.25">
      <c r="A1134" s="91" t="s">
        <v>3282</v>
      </c>
      <c r="B1134" s="67" t="s">
        <v>1124</v>
      </c>
      <c r="C1134" s="74">
        <f>323.23*0.8*0.95</f>
        <v>245.65479999999999</v>
      </c>
      <c r="D1134" s="67" t="s">
        <v>1784</v>
      </c>
    </row>
    <row r="1135" spans="1:4" x14ac:dyDescent="0.25">
      <c r="A1135" s="91" t="s">
        <v>3282</v>
      </c>
      <c r="B1135" s="67" t="s">
        <v>1124</v>
      </c>
      <c r="C1135" s="74">
        <f>323.23*0.8*0.95</f>
        <v>245.65479999999999</v>
      </c>
      <c r="D1135" s="67" t="s">
        <v>1784</v>
      </c>
    </row>
    <row r="1136" spans="1:4" ht="15.75" x14ac:dyDescent="0.25">
      <c r="A1136" s="94" t="s">
        <v>2549</v>
      </c>
      <c r="B1136" s="67">
        <v>2678</v>
      </c>
      <c r="C1136" s="75">
        <v>525</v>
      </c>
      <c r="D1136" s="67" t="s">
        <v>1784</v>
      </c>
    </row>
    <row r="1137" spans="1:4" x14ac:dyDescent="0.25">
      <c r="A1137" s="92" t="s">
        <v>3275</v>
      </c>
      <c r="B1137" s="67" t="s">
        <v>1125</v>
      </c>
      <c r="C1137" s="74">
        <f>360.25*0.8*0.95</f>
        <v>273.78999999999996</v>
      </c>
      <c r="D1137" s="67" t="s">
        <v>1784</v>
      </c>
    </row>
    <row r="1138" spans="1:4" x14ac:dyDescent="0.25">
      <c r="A1138" s="92" t="s">
        <v>3276</v>
      </c>
      <c r="B1138" s="67" t="s">
        <v>1126</v>
      </c>
      <c r="C1138" s="74">
        <f>157.14*0.8*0.95</f>
        <v>119.42639999999999</v>
      </c>
      <c r="D1138" s="67" t="s">
        <v>1784</v>
      </c>
    </row>
    <row r="1139" spans="1:4" x14ac:dyDescent="0.25">
      <c r="A1139" s="92" t="s">
        <v>2590</v>
      </c>
      <c r="B1139" s="67" t="s">
        <v>1127</v>
      </c>
      <c r="C1139" s="74">
        <f>769.97*0.8*0.95</f>
        <v>585.17720000000008</v>
      </c>
      <c r="D1139" s="67" t="s">
        <v>1784</v>
      </c>
    </row>
    <row r="1140" spans="1:4" x14ac:dyDescent="0.25">
      <c r="A1140" s="92" t="s">
        <v>2591</v>
      </c>
      <c r="B1140" s="67" t="s">
        <v>1128</v>
      </c>
      <c r="C1140" s="74">
        <f>710.48*0.8*0.95</f>
        <v>539.96479999999997</v>
      </c>
      <c r="D1140" s="67" t="s">
        <v>1784</v>
      </c>
    </row>
    <row r="1141" spans="1:4" x14ac:dyDescent="0.25">
      <c r="A1141" s="92" t="s">
        <v>2589</v>
      </c>
      <c r="B1141" s="67" t="s">
        <v>1129</v>
      </c>
      <c r="C1141" s="74">
        <f>741.48*0.8*0.95</f>
        <v>563.52480000000003</v>
      </c>
      <c r="D1141" s="67" t="s">
        <v>1784</v>
      </c>
    </row>
    <row r="1142" spans="1:4" x14ac:dyDescent="0.25">
      <c r="A1142" s="91" t="s">
        <v>2965</v>
      </c>
      <c r="B1142" s="67" t="s">
        <v>1130</v>
      </c>
      <c r="C1142" s="74">
        <f>575.75*0.8*0.95</f>
        <v>437.57</v>
      </c>
      <c r="D1142" s="67" t="s">
        <v>1784</v>
      </c>
    </row>
    <row r="1143" spans="1:4" x14ac:dyDescent="0.25">
      <c r="A1143" s="92" t="s">
        <v>2648</v>
      </c>
      <c r="B1143" s="67" t="s">
        <v>1131</v>
      </c>
      <c r="C1143" s="74">
        <f>934.51*0.8*0.95</f>
        <v>710.22760000000005</v>
      </c>
      <c r="D1143" s="67" t="s">
        <v>1784</v>
      </c>
    </row>
    <row r="1144" spans="1:4" x14ac:dyDescent="0.25">
      <c r="A1144" s="92" t="s">
        <v>2649</v>
      </c>
      <c r="B1144" s="67" t="s">
        <v>1132</v>
      </c>
      <c r="C1144" s="74">
        <f>974.27*0.8*0.95</f>
        <v>740.4452</v>
      </c>
      <c r="D1144" s="67" t="s">
        <v>1784</v>
      </c>
    </row>
    <row r="1145" spans="1:4" x14ac:dyDescent="0.25">
      <c r="A1145" s="92" t="s">
        <v>2644</v>
      </c>
      <c r="B1145" s="67" t="s">
        <v>1133</v>
      </c>
      <c r="C1145" s="74">
        <f>990.55*0.8*0.95</f>
        <v>752.81799999999998</v>
      </c>
      <c r="D1145" s="67" t="s">
        <v>1784</v>
      </c>
    </row>
    <row r="1146" spans="1:4" x14ac:dyDescent="0.25">
      <c r="A1146" s="92" t="s">
        <v>2645</v>
      </c>
      <c r="B1146" s="67" t="s">
        <v>1134</v>
      </c>
      <c r="C1146" s="74">
        <f>1030.32*0.8*0.95</f>
        <v>783.04319999999996</v>
      </c>
      <c r="D1146" s="67" t="s">
        <v>1784</v>
      </c>
    </row>
    <row r="1147" spans="1:4" x14ac:dyDescent="0.25">
      <c r="A1147" s="91" t="s">
        <v>2646</v>
      </c>
      <c r="B1147" s="67" t="s">
        <v>1135</v>
      </c>
      <c r="C1147" s="74">
        <f>1041.91*0.8*0.95</f>
        <v>791.85160000000008</v>
      </c>
      <c r="D1147" s="67" t="s">
        <v>1784</v>
      </c>
    </row>
    <row r="1148" spans="1:4" x14ac:dyDescent="0.25">
      <c r="A1148" s="91" t="s">
        <v>2647</v>
      </c>
      <c r="B1148" s="67" t="s">
        <v>1136</v>
      </c>
      <c r="C1148" s="74">
        <f>1086.6*0.8*0.95</f>
        <v>825.81599999999992</v>
      </c>
      <c r="D1148" s="67" t="s">
        <v>1784</v>
      </c>
    </row>
    <row r="1149" spans="1:4" x14ac:dyDescent="0.25">
      <c r="A1149" s="92" t="s">
        <v>2592</v>
      </c>
      <c r="B1149" s="67" t="s">
        <v>1137</v>
      </c>
      <c r="C1149" s="74">
        <f>994.25*0.8*0.95</f>
        <v>755.63</v>
      </c>
      <c r="D1149" s="67" t="s">
        <v>1784</v>
      </c>
    </row>
    <row r="1150" spans="1:4" x14ac:dyDescent="0.25">
      <c r="A1150" s="92" t="s">
        <v>2593</v>
      </c>
      <c r="B1150" s="67" t="s">
        <v>1138</v>
      </c>
      <c r="C1150" s="74">
        <f>1022*0.8*0.95</f>
        <v>776.72</v>
      </c>
      <c r="D1150" s="67" t="s">
        <v>1784</v>
      </c>
    </row>
    <row r="1151" spans="1:4" x14ac:dyDescent="0.25">
      <c r="A1151" s="92" t="s">
        <v>2594</v>
      </c>
      <c r="B1151" s="67" t="s">
        <v>1139</v>
      </c>
      <c r="C1151" s="74">
        <f>906.5*0.8*0.95</f>
        <v>688.94</v>
      </c>
      <c r="D1151" s="67" t="s">
        <v>1784</v>
      </c>
    </row>
    <row r="1152" spans="1:4" x14ac:dyDescent="0.25">
      <c r="A1152" s="92" t="s">
        <v>2595</v>
      </c>
      <c r="B1152" s="67" t="s">
        <v>1140</v>
      </c>
      <c r="C1152" s="74">
        <f>937.82*0.8*0.95</f>
        <v>712.7432</v>
      </c>
      <c r="D1152" s="67" t="s">
        <v>1784</v>
      </c>
    </row>
    <row r="1153" spans="1:4" x14ac:dyDescent="0.25">
      <c r="A1153" s="92" t="s">
        <v>2642</v>
      </c>
      <c r="B1153" s="67" t="s">
        <v>1141</v>
      </c>
      <c r="C1153" s="74">
        <f>714.35*0.8*0.95</f>
        <v>542.90599999999995</v>
      </c>
      <c r="D1153" s="67" t="s">
        <v>1784</v>
      </c>
    </row>
    <row r="1154" spans="1:4" x14ac:dyDescent="0.25">
      <c r="A1154" s="92" t="s">
        <v>2643</v>
      </c>
      <c r="B1154" s="67" t="s">
        <v>1142</v>
      </c>
      <c r="C1154" s="74">
        <f>736.52*0.8*0.95</f>
        <v>559.75519999999995</v>
      </c>
      <c r="D1154" s="67" t="s">
        <v>1784</v>
      </c>
    </row>
    <row r="1155" spans="1:4" x14ac:dyDescent="0.25">
      <c r="A1155" s="92" t="s">
        <v>2588</v>
      </c>
      <c r="B1155" s="67" t="s">
        <v>1143</v>
      </c>
      <c r="C1155" s="74">
        <f>665.7*0.8*0.95</f>
        <v>505.93200000000002</v>
      </c>
      <c r="D1155" s="67" t="s">
        <v>1784</v>
      </c>
    </row>
    <row r="1156" spans="1:4" x14ac:dyDescent="0.25">
      <c r="A1156" s="92" t="s">
        <v>2587</v>
      </c>
      <c r="B1156" s="67" t="s">
        <v>1144</v>
      </c>
      <c r="C1156" s="74">
        <f>733.39*0.8*0.95</f>
        <v>557.37639999999999</v>
      </c>
      <c r="D1156" s="67" t="s">
        <v>1784</v>
      </c>
    </row>
    <row r="1157" spans="1:4" x14ac:dyDescent="0.25">
      <c r="A1157" s="92" t="s">
        <v>2586</v>
      </c>
      <c r="B1157" s="67" t="s">
        <v>1145</v>
      </c>
      <c r="C1157" s="74">
        <f>704.94*0.8*0.95</f>
        <v>535.75440000000003</v>
      </c>
      <c r="D1157" s="67" t="s">
        <v>1784</v>
      </c>
    </row>
    <row r="1158" spans="1:4" x14ac:dyDescent="0.25">
      <c r="A1158" s="92" t="s">
        <v>2620</v>
      </c>
      <c r="B1158" s="67" t="s">
        <v>1146</v>
      </c>
      <c r="C1158" s="74">
        <f>1173.03*0.8*0.95</f>
        <v>891.50279999999998</v>
      </c>
      <c r="D1158" s="67" t="s">
        <v>1784</v>
      </c>
    </row>
    <row r="1159" spans="1:4" x14ac:dyDescent="0.25">
      <c r="A1159" s="92" t="s">
        <v>2621</v>
      </c>
      <c r="B1159" s="67" t="s">
        <v>1147</v>
      </c>
      <c r="C1159" s="74">
        <f>1232.63*0.8*0.95</f>
        <v>936.79880000000014</v>
      </c>
      <c r="D1159" s="67" t="s">
        <v>1784</v>
      </c>
    </row>
    <row r="1160" spans="1:4" x14ac:dyDescent="0.25">
      <c r="A1160" s="91" t="s">
        <v>2613</v>
      </c>
      <c r="B1160" s="67" t="s">
        <v>1148</v>
      </c>
      <c r="C1160" s="74">
        <f>531.67*0.8*0.95</f>
        <v>404.06919999999997</v>
      </c>
      <c r="D1160" s="67" t="s">
        <v>1784</v>
      </c>
    </row>
    <row r="1161" spans="1:4" x14ac:dyDescent="0.25">
      <c r="A1161" s="91" t="s">
        <v>2614</v>
      </c>
      <c r="B1161" s="67" t="s">
        <v>1149</v>
      </c>
      <c r="C1161" s="74">
        <f>558.25*0.8*0.95</f>
        <v>424.27</v>
      </c>
      <c r="D1161" s="67" t="s">
        <v>1784</v>
      </c>
    </row>
    <row r="1162" spans="1:4" x14ac:dyDescent="0.25">
      <c r="A1162" s="91" t="s">
        <v>2608</v>
      </c>
      <c r="B1162" s="67" t="s">
        <v>1150</v>
      </c>
      <c r="C1162" s="74">
        <f>531.67*0.8*0.95</f>
        <v>404.06919999999997</v>
      </c>
      <c r="D1162" s="67" t="s">
        <v>1784</v>
      </c>
    </row>
    <row r="1163" spans="1:4" x14ac:dyDescent="0.25">
      <c r="A1163" s="92" t="s">
        <v>2610</v>
      </c>
      <c r="B1163" s="67" t="s">
        <v>1151</v>
      </c>
      <c r="C1163" s="74">
        <f>596.51*0.8*0.95</f>
        <v>453.3476</v>
      </c>
      <c r="D1163" s="67" t="s">
        <v>1784</v>
      </c>
    </row>
    <row r="1164" spans="1:4" x14ac:dyDescent="0.25">
      <c r="A1164" s="91" t="s">
        <v>2609</v>
      </c>
      <c r="B1164" s="67" t="s">
        <v>1152</v>
      </c>
      <c r="C1164" s="74">
        <f>561.93*0.8*0.95</f>
        <v>427.06679999999994</v>
      </c>
      <c r="D1164" s="67" t="s">
        <v>1784</v>
      </c>
    </row>
    <row r="1165" spans="1:4" x14ac:dyDescent="0.25">
      <c r="A1165" s="91" t="s">
        <v>2612</v>
      </c>
      <c r="B1165" s="67" t="s">
        <v>1153</v>
      </c>
      <c r="C1165" s="74">
        <f>570.57*0.8*0.95</f>
        <v>433.63320000000004</v>
      </c>
      <c r="D1165" s="67" t="s">
        <v>1784</v>
      </c>
    </row>
    <row r="1166" spans="1:4" x14ac:dyDescent="0.25">
      <c r="A1166" s="92" t="s">
        <v>2611</v>
      </c>
      <c r="B1166" s="67" t="s">
        <v>1154</v>
      </c>
      <c r="C1166" s="74">
        <f>540.31*0.8*0.95</f>
        <v>410.63559999999995</v>
      </c>
      <c r="D1166" s="67" t="s">
        <v>1784</v>
      </c>
    </row>
    <row r="1167" spans="1:4" x14ac:dyDescent="0.25">
      <c r="A1167" s="92" t="s">
        <v>2615</v>
      </c>
      <c r="B1167" s="67" t="s">
        <v>1155</v>
      </c>
      <c r="C1167" s="74">
        <f>801.84*0.8*0.95</f>
        <v>609.39840000000004</v>
      </c>
      <c r="D1167" s="67" t="s">
        <v>1784</v>
      </c>
    </row>
    <row r="1168" spans="1:4" x14ac:dyDescent="0.25">
      <c r="A1168" s="92" t="s">
        <v>2616</v>
      </c>
      <c r="B1168" s="67" t="s">
        <v>1156</v>
      </c>
      <c r="C1168" s="74">
        <f>861.26*0.8*0.95</f>
        <v>654.55759999999998</v>
      </c>
      <c r="D1168" s="67" t="s">
        <v>1784</v>
      </c>
    </row>
    <row r="1169" spans="1:4" x14ac:dyDescent="0.25">
      <c r="A1169" s="91" t="s">
        <v>2605</v>
      </c>
      <c r="B1169" s="67" t="s">
        <v>1157</v>
      </c>
      <c r="C1169" s="74">
        <f>337.16*0.8*0.95</f>
        <v>256.24160000000001</v>
      </c>
      <c r="D1169" s="67" t="s">
        <v>1784</v>
      </c>
    </row>
    <row r="1170" spans="1:4" x14ac:dyDescent="0.25">
      <c r="A1170" s="91" t="s">
        <v>2607</v>
      </c>
      <c r="B1170" s="67" t="s">
        <v>1158</v>
      </c>
      <c r="C1170" s="74">
        <f>380.38*0.8*0.95</f>
        <v>289.08879999999999</v>
      </c>
      <c r="D1170" s="67" t="s">
        <v>1784</v>
      </c>
    </row>
    <row r="1171" spans="1:4" x14ac:dyDescent="0.25">
      <c r="A1171" s="91" t="s">
        <v>2606</v>
      </c>
      <c r="B1171" s="67" t="s">
        <v>1159</v>
      </c>
      <c r="C1171" s="74">
        <f>371.74*0.8*0.95</f>
        <v>282.5224</v>
      </c>
      <c r="D1171" s="67" t="s">
        <v>1784</v>
      </c>
    </row>
    <row r="1172" spans="1:4" x14ac:dyDescent="0.25">
      <c r="A1172" s="91" t="s">
        <v>2602</v>
      </c>
      <c r="B1172" s="67" t="s">
        <v>1160</v>
      </c>
      <c r="C1172" s="74">
        <f>337.16*0.8*0.95</f>
        <v>256.24160000000001</v>
      </c>
      <c r="D1172" s="67" t="s">
        <v>1784</v>
      </c>
    </row>
    <row r="1173" spans="1:4" x14ac:dyDescent="0.25">
      <c r="A1173" s="92" t="s">
        <v>2604</v>
      </c>
      <c r="B1173" s="67" t="s">
        <v>1161</v>
      </c>
      <c r="C1173" s="74">
        <f>380.38*0.8*0.95</f>
        <v>289.08879999999999</v>
      </c>
      <c r="D1173" s="67" t="s">
        <v>1784</v>
      </c>
    </row>
    <row r="1174" spans="1:4" x14ac:dyDescent="0.25">
      <c r="A1174" s="91" t="s">
        <v>2603</v>
      </c>
      <c r="B1174" s="67" t="s">
        <v>1162</v>
      </c>
      <c r="C1174" s="74">
        <f>371.74*0.8*0.95</f>
        <v>282.5224</v>
      </c>
      <c r="D1174" s="67" t="s">
        <v>1784</v>
      </c>
    </row>
    <row r="1175" spans="1:4" x14ac:dyDescent="0.25">
      <c r="A1175" s="91" t="s">
        <v>2617</v>
      </c>
      <c r="B1175" s="67" t="s">
        <v>1163</v>
      </c>
      <c r="C1175" s="74">
        <f>423.61*0.8*0.95</f>
        <v>321.9436</v>
      </c>
      <c r="D1175" s="67" t="s">
        <v>1784</v>
      </c>
    </row>
    <row r="1176" spans="1:4" x14ac:dyDescent="0.25">
      <c r="A1176" s="91" t="s">
        <v>2619</v>
      </c>
      <c r="B1176" s="67" t="s">
        <v>1164</v>
      </c>
      <c r="C1176" s="74">
        <f>475.48*0.8*0.95</f>
        <v>361.3648</v>
      </c>
      <c r="D1176" s="67" t="s">
        <v>1784</v>
      </c>
    </row>
    <row r="1177" spans="1:4" x14ac:dyDescent="0.25">
      <c r="A1177" s="91" t="s">
        <v>2618</v>
      </c>
      <c r="B1177" s="67" t="s">
        <v>1165</v>
      </c>
      <c r="C1177" s="74">
        <f>453.86*0.8*0.95</f>
        <v>344.93360000000001</v>
      </c>
      <c r="D1177" s="67" t="s">
        <v>1784</v>
      </c>
    </row>
    <row r="1178" spans="1:4" x14ac:dyDescent="0.25">
      <c r="A1178" s="92" t="s">
        <v>2599</v>
      </c>
      <c r="B1178" s="67" t="s">
        <v>1166</v>
      </c>
      <c r="C1178" s="74">
        <f>1120.58*0.8*0.95</f>
        <v>851.6407999999999</v>
      </c>
      <c r="D1178" s="67" t="s">
        <v>1784</v>
      </c>
    </row>
    <row r="1179" spans="1:4" x14ac:dyDescent="0.25">
      <c r="A1179" s="92" t="s">
        <v>2601</v>
      </c>
      <c r="B1179" s="67" t="s">
        <v>1167</v>
      </c>
      <c r="C1179" s="74">
        <f>1073.59*0.8*0.95</f>
        <v>815.9283999999999</v>
      </c>
      <c r="D1179" s="67" t="s">
        <v>1784</v>
      </c>
    </row>
    <row r="1180" spans="1:4" x14ac:dyDescent="0.25">
      <c r="A1180" s="92" t="s">
        <v>2600</v>
      </c>
      <c r="B1180" s="67" t="s">
        <v>1168</v>
      </c>
      <c r="C1180" s="74">
        <f>1146.96*0.8*0.95</f>
        <v>871.68960000000004</v>
      </c>
      <c r="D1180" s="67" t="s">
        <v>1784</v>
      </c>
    </row>
    <row r="1181" spans="1:4" x14ac:dyDescent="0.25">
      <c r="A1181" s="92" t="s">
        <v>2596</v>
      </c>
      <c r="B1181" s="67" t="s">
        <v>1169</v>
      </c>
      <c r="C1181" s="74">
        <f>700.74*0.8*0.95</f>
        <v>532.56239999999991</v>
      </c>
      <c r="D1181" s="67" t="s">
        <v>1784</v>
      </c>
    </row>
    <row r="1182" spans="1:4" x14ac:dyDescent="0.25">
      <c r="A1182" s="92" t="s">
        <v>2598</v>
      </c>
      <c r="B1182" s="67" t="s">
        <v>1170</v>
      </c>
      <c r="C1182" s="74">
        <f>676.8*0.8*0.95</f>
        <v>514.36799999999994</v>
      </c>
      <c r="D1182" s="67" t="s">
        <v>1784</v>
      </c>
    </row>
    <row r="1183" spans="1:4" x14ac:dyDescent="0.25">
      <c r="A1183" s="92" t="s">
        <v>2597</v>
      </c>
      <c r="B1183" s="67" t="s">
        <v>1171</v>
      </c>
      <c r="C1183" s="74">
        <f>717.73*0.8*0.95</f>
        <v>545.47480000000007</v>
      </c>
      <c r="D1183" s="67" t="s">
        <v>1784</v>
      </c>
    </row>
    <row r="1184" spans="1:4" x14ac:dyDescent="0.25">
      <c r="A1184" s="92" t="s">
        <v>2652</v>
      </c>
      <c r="B1184" s="67" t="s">
        <v>1172</v>
      </c>
      <c r="C1184" s="74">
        <f>316.46*0.8*0.95</f>
        <v>240.50960000000001</v>
      </c>
      <c r="D1184" s="67" t="s">
        <v>1784</v>
      </c>
    </row>
    <row r="1185" spans="1:4" x14ac:dyDescent="0.25">
      <c r="A1185" s="91" t="s">
        <v>2571</v>
      </c>
      <c r="B1185" s="67" t="s">
        <v>1045</v>
      </c>
      <c r="C1185" s="73">
        <f>846*0.8*0.95</f>
        <v>642.96</v>
      </c>
      <c r="D1185" s="67" t="s">
        <v>1784</v>
      </c>
    </row>
    <row r="1186" spans="1:4" x14ac:dyDescent="0.25">
      <c r="A1186" s="91" t="s">
        <v>2573</v>
      </c>
      <c r="B1186" s="67" t="s">
        <v>1047</v>
      </c>
      <c r="C1186" s="74">
        <f>806.42*0.8*0.95</f>
        <v>612.87919999999997</v>
      </c>
      <c r="D1186" s="67" t="s">
        <v>1784</v>
      </c>
    </row>
    <row r="1187" spans="1:4" x14ac:dyDescent="0.25">
      <c r="A1187" s="91" t="s">
        <v>2572</v>
      </c>
      <c r="B1187" s="67" t="s">
        <v>1046</v>
      </c>
      <c r="C1187" s="73">
        <f>874.46*0.8*0.95</f>
        <v>664.58960000000002</v>
      </c>
      <c r="D1187" s="67" t="s">
        <v>1784</v>
      </c>
    </row>
    <row r="1188" spans="1:4" x14ac:dyDescent="0.25">
      <c r="A1188" s="91" t="s">
        <v>2574</v>
      </c>
      <c r="B1188" s="67" t="s">
        <v>1048</v>
      </c>
      <c r="C1188" s="74">
        <f>900.95*0.8*0.95</f>
        <v>684.72200000000009</v>
      </c>
      <c r="D1188" s="67" t="s">
        <v>1784</v>
      </c>
    </row>
    <row r="1189" spans="1:4" x14ac:dyDescent="0.25">
      <c r="A1189" s="91" t="s">
        <v>2576</v>
      </c>
      <c r="B1189" s="67" t="s">
        <v>1050</v>
      </c>
      <c r="C1189" s="74">
        <f>882.88*0.8*0.95</f>
        <v>670.98880000000008</v>
      </c>
      <c r="D1189" s="67" t="s">
        <v>1784</v>
      </c>
    </row>
    <row r="1190" spans="1:4" x14ac:dyDescent="0.25">
      <c r="A1190" s="91" t="s">
        <v>2575</v>
      </c>
      <c r="B1190" s="67" t="s">
        <v>1049</v>
      </c>
      <c r="C1190" s="74">
        <f>935.42*0.8*0.95</f>
        <v>710.91919999999993</v>
      </c>
      <c r="D1190" s="67" t="s">
        <v>1784</v>
      </c>
    </row>
    <row r="1191" spans="1:4" x14ac:dyDescent="0.25">
      <c r="A1191" s="91" t="s">
        <v>2579</v>
      </c>
      <c r="B1191" s="67" t="s">
        <v>1053</v>
      </c>
      <c r="C1191" s="74">
        <f>1123.47*0.8*0.95</f>
        <v>853.83720000000005</v>
      </c>
      <c r="D1191" s="67" t="s">
        <v>1784</v>
      </c>
    </row>
    <row r="1192" spans="1:4" x14ac:dyDescent="0.25">
      <c r="A1192" s="91" t="s">
        <v>2578</v>
      </c>
      <c r="B1192" s="67" t="s">
        <v>1052</v>
      </c>
      <c r="C1192" s="74">
        <f>1204.6*0.8*0.95</f>
        <v>915.49599999999987</v>
      </c>
      <c r="D1192" s="67" t="s">
        <v>1784</v>
      </c>
    </row>
    <row r="1193" spans="1:4" x14ac:dyDescent="0.25">
      <c r="A1193" s="91" t="s">
        <v>2577</v>
      </c>
      <c r="B1193" s="67" t="s">
        <v>1051</v>
      </c>
      <c r="C1193" s="74">
        <f>1169.46*0.8*0.95</f>
        <v>888.78960000000006</v>
      </c>
      <c r="D1193" s="67" t="s">
        <v>1784</v>
      </c>
    </row>
    <row r="1194" spans="1:4" x14ac:dyDescent="0.25">
      <c r="A1194" s="91" t="s">
        <v>2580</v>
      </c>
      <c r="B1194" s="67" t="s">
        <v>1054</v>
      </c>
      <c r="C1194" s="74">
        <f>1334.99*0.8*0.95</f>
        <v>1014.5923999999999</v>
      </c>
      <c r="D1194" s="67" t="s">
        <v>1784</v>
      </c>
    </row>
    <row r="1195" spans="1:4" x14ac:dyDescent="0.25">
      <c r="A1195" s="91" t="s">
        <v>2581</v>
      </c>
      <c r="B1195" s="67" t="s">
        <v>1055</v>
      </c>
      <c r="C1195" s="74">
        <f>1367.82*0.8*0.95</f>
        <v>1039.5432000000001</v>
      </c>
      <c r="D1195" s="67" t="s">
        <v>1784</v>
      </c>
    </row>
    <row r="1196" spans="1:4" x14ac:dyDescent="0.25">
      <c r="A1196" s="91" t="s">
        <v>2582</v>
      </c>
      <c r="B1196" s="67" t="s">
        <v>1056</v>
      </c>
      <c r="C1196" s="74">
        <f>1308.42*0.8*0.95</f>
        <v>994.39920000000006</v>
      </c>
      <c r="D1196" s="67" t="s">
        <v>1784</v>
      </c>
    </row>
    <row r="1197" spans="1:4" x14ac:dyDescent="0.25">
      <c r="A1197" s="91" t="s">
        <v>2583</v>
      </c>
      <c r="B1197" s="67" t="s">
        <v>1057</v>
      </c>
      <c r="C1197" s="74">
        <f>1346.93*0.8*0.95</f>
        <v>1023.6668000000001</v>
      </c>
      <c r="D1197" s="67" t="s">
        <v>1784</v>
      </c>
    </row>
    <row r="1198" spans="1:4" x14ac:dyDescent="0.25">
      <c r="A1198" s="91" t="s">
        <v>2584</v>
      </c>
      <c r="B1198" s="67" t="s">
        <v>1058</v>
      </c>
      <c r="C1198" s="74">
        <f>1830.18*0.8*0.95</f>
        <v>1390.9368000000002</v>
      </c>
      <c r="D1198" s="67" t="s">
        <v>1784</v>
      </c>
    </row>
    <row r="1199" spans="1:4" x14ac:dyDescent="0.25">
      <c r="A1199" s="91" t="s">
        <v>2585</v>
      </c>
      <c r="B1199" s="67" t="s">
        <v>1059</v>
      </c>
      <c r="C1199" s="74">
        <f>1881.15*0.8*0.95</f>
        <v>1429.674</v>
      </c>
      <c r="D1199" s="67" t="s">
        <v>1784</v>
      </c>
    </row>
    <row r="1200" spans="1:4" x14ac:dyDescent="0.25">
      <c r="A1200" s="92" t="s">
        <v>2651</v>
      </c>
      <c r="B1200" s="67" t="s">
        <v>1173</v>
      </c>
      <c r="C1200" s="74">
        <f>837.2*0.8*0.95</f>
        <v>636.27200000000005</v>
      </c>
      <c r="D1200" s="67" t="s">
        <v>1784</v>
      </c>
    </row>
    <row r="1201" spans="1:4" x14ac:dyDescent="0.25">
      <c r="A1201" s="92" t="s">
        <v>2650</v>
      </c>
      <c r="B1201" s="67" t="s">
        <v>1174</v>
      </c>
      <c r="C1201" s="74">
        <f>500.5*0.8*0.95</f>
        <v>380.38</v>
      </c>
      <c r="D1201" s="67" t="s">
        <v>1784</v>
      </c>
    </row>
    <row r="1202" spans="1:4" x14ac:dyDescent="0.25">
      <c r="A1202" s="91" t="s">
        <v>2640</v>
      </c>
      <c r="B1202" s="67" t="s">
        <v>1175</v>
      </c>
      <c r="C1202" s="74">
        <f>480.87*0.8*0.95</f>
        <v>365.46120000000002</v>
      </c>
      <c r="D1202" s="67" t="s">
        <v>1784</v>
      </c>
    </row>
    <row r="1203" spans="1:4" x14ac:dyDescent="0.25">
      <c r="A1203" s="91" t="s">
        <v>2641</v>
      </c>
      <c r="B1203" s="67" t="s">
        <v>1176</v>
      </c>
      <c r="C1203" s="74">
        <f>396.27*0.8*0.95</f>
        <v>301.16520000000003</v>
      </c>
      <c r="D1203" s="67" t="s">
        <v>1784</v>
      </c>
    </row>
    <row r="1204" spans="1:4" x14ac:dyDescent="0.25">
      <c r="A1204" s="91" t="s">
        <v>2636</v>
      </c>
      <c r="B1204" s="67" t="s">
        <v>1177</v>
      </c>
      <c r="C1204" s="74">
        <f>392.16*0.8*0.95</f>
        <v>298.04160000000007</v>
      </c>
      <c r="D1204" s="67" t="s">
        <v>1784</v>
      </c>
    </row>
    <row r="1205" spans="1:4" x14ac:dyDescent="0.25">
      <c r="A1205" s="91" t="s">
        <v>2637</v>
      </c>
      <c r="B1205" s="67" t="s">
        <v>1178</v>
      </c>
      <c r="C1205" s="74">
        <f>320.58*0.8*0.95</f>
        <v>243.64079999999998</v>
      </c>
      <c r="D1205" s="67" t="s">
        <v>1784</v>
      </c>
    </row>
    <row r="1206" spans="1:4" x14ac:dyDescent="0.25">
      <c r="A1206" s="91" t="s">
        <v>2638</v>
      </c>
      <c r="B1206" s="67" t="s">
        <v>1179</v>
      </c>
      <c r="C1206" s="74">
        <f>489.78*0.8*0.95</f>
        <v>372.2328</v>
      </c>
      <c r="D1206" s="67" t="s">
        <v>1784</v>
      </c>
    </row>
    <row r="1207" spans="1:4" x14ac:dyDescent="0.25">
      <c r="A1207" s="91" t="s">
        <v>2639</v>
      </c>
      <c r="B1207" s="67" t="s">
        <v>1180</v>
      </c>
      <c r="C1207" s="74">
        <f>463.06*0.8*0.95</f>
        <v>351.92560000000003</v>
      </c>
      <c r="D1207" s="67" t="s">
        <v>1784</v>
      </c>
    </row>
    <row r="1208" spans="1:4" x14ac:dyDescent="0.25">
      <c r="A1208" s="91" t="s">
        <v>2634</v>
      </c>
      <c r="B1208" s="67" t="s">
        <v>1181</v>
      </c>
      <c r="C1208" s="74">
        <f>258.25*0.8*0.95</f>
        <v>196.27</v>
      </c>
      <c r="D1208" s="67" t="s">
        <v>1784</v>
      </c>
    </row>
    <row r="1209" spans="1:4" x14ac:dyDescent="0.25">
      <c r="A1209" s="91" t="s">
        <v>2635</v>
      </c>
      <c r="B1209" s="67" t="s">
        <v>1182</v>
      </c>
      <c r="C1209" s="74">
        <f>229.48*0.8*0.95</f>
        <v>174.40479999999999</v>
      </c>
      <c r="D1209" s="67" t="s">
        <v>1784</v>
      </c>
    </row>
    <row r="1210" spans="1:4" x14ac:dyDescent="0.25">
      <c r="A1210" s="91" t="s">
        <v>2632</v>
      </c>
      <c r="B1210" s="67" t="s">
        <v>1183</v>
      </c>
      <c r="C1210" s="74">
        <f>258.25*0.8*0.95</f>
        <v>196.27</v>
      </c>
      <c r="D1210" s="67" t="s">
        <v>1784</v>
      </c>
    </row>
    <row r="1211" spans="1:4" x14ac:dyDescent="0.25">
      <c r="A1211" s="91" t="s">
        <v>2633</v>
      </c>
      <c r="B1211" s="67" t="s">
        <v>1184</v>
      </c>
      <c r="C1211" s="74">
        <f>229.48*0.8*0.95</f>
        <v>174.40479999999999</v>
      </c>
      <c r="D1211" s="67" t="s">
        <v>1784</v>
      </c>
    </row>
    <row r="1212" spans="1:4" x14ac:dyDescent="0.25">
      <c r="A1212" s="91" t="s">
        <v>2630</v>
      </c>
      <c r="B1212" s="67" t="s">
        <v>1185</v>
      </c>
      <c r="C1212" s="74">
        <f>216.13*0.8*0.95</f>
        <v>164.25879999999998</v>
      </c>
      <c r="D1212" s="67" t="s">
        <v>1784</v>
      </c>
    </row>
    <row r="1213" spans="1:4" x14ac:dyDescent="0.25">
      <c r="A1213" s="91" t="s">
        <v>2631</v>
      </c>
      <c r="B1213" s="67" t="s">
        <v>1186</v>
      </c>
      <c r="C1213" s="74">
        <f>216.13*0.8*0.95</f>
        <v>164.25879999999998</v>
      </c>
      <c r="D1213" s="67" t="s">
        <v>1784</v>
      </c>
    </row>
    <row r="1214" spans="1:4" x14ac:dyDescent="0.25">
      <c r="A1214" s="91" t="s">
        <v>2626</v>
      </c>
      <c r="B1214" s="67" t="s">
        <v>1187</v>
      </c>
      <c r="C1214" s="74">
        <f>215.13*0.8*0.95</f>
        <v>163.49880000000002</v>
      </c>
      <c r="D1214" s="67" t="s">
        <v>1784</v>
      </c>
    </row>
    <row r="1215" spans="1:4" x14ac:dyDescent="0.25">
      <c r="A1215" s="91" t="s">
        <v>2627</v>
      </c>
      <c r="B1215" s="67" t="s">
        <v>1188</v>
      </c>
      <c r="C1215" s="74">
        <f>215.13*0.8*0.95</f>
        <v>163.49880000000002</v>
      </c>
      <c r="D1215" s="67" t="s">
        <v>1784</v>
      </c>
    </row>
    <row r="1216" spans="1:4" x14ac:dyDescent="0.25">
      <c r="A1216" s="91" t="s">
        <v>2628</v>
      </c>
      <c r="B1216" s="67" t="s">
        <v>1189</v>
      </c>
      <c r="C1216" s="74">
        <f>250.71*0.8*0.95</f>
        <v>190.53960000000001</v>
      </c>
      <c r="D1216" s="67" t="s">
        <v>1784</v>
      </c>
    </row>
    <row r="1217" spans="1:4" x14ac:dyDescent="0.25">
      <c r="A1217" s="91" t="s">
        <v>2629</v>
      </c>
      <c r="B1217" s="67" t="s">
        <v>1190</v>
      </c>
      <c r="C1217" s="74">
        <f>250.71*0.8*0.95</f>
        <v>190.53960000000001</v>
      </c>
      <c r="D1217" s="67" t="s">
        <v>1784</v>
      </c>
    </row>
    <row r="1218" spans="1:4" x14ac:dyDescent="0.25">
      <c r="A1218" s="91" t="s">
        <v>2624</v>
      </c>
      <c r="B1218" s="67" t="s">
        <v>1191</v>
      </c>
      <c r="C1218" s="74">
        <f>144.8*0.8*0.95</f>
        <v>110.04800000000002</v>
      </c>
      <c r="D1218" s="67" t="s">
        <v>1784</v>
      </c>
    </row>
    <row r="1219" spans="1:4" x14ac:dyDescent="0.25">
      <c r="A1219" s="91" t="s">
        <v>2625</v>
      </c>
      <c r="B1219" s="67" t="s">
        <v>1192</v>
      </c>
      <c r="C1219" s="74">
        <f>144.8*0.8*0.95</f>
        <v>110.04800000000002</v>
      </c>
      <c r="D1219" s="67" t="s">
        <v>1784</v>
      </c>
    </row>
    <row r="1220" spans="1:4" x14ac:dyDescent="0.25">
      <c r="A1220" s="91" t="s">
        <v>2622</v>
      </c>
      <c r="B1220" s="67" t="s">
        <v>1193</v>
      </c>
      <c r="C1220" s="74">
        <f>144.8*0.8*0.95</f>
        <v>110.04800000000002</v>
      </c>
      <c r="D1220" s="67" t="s">
        <v>1784</v>
      </c>
    </row>
    <row r="1221" spans="1:4" x14ac:dyDescent="0.25">
      <c r="A1221" s="91" t="s">
        <v>2623</v>
      </c>
      <c r="B1221" s="67" t="s">
        <v>1194</v>
      </c>
      <c r="C1221" s="74">
        <f>144.8*0.8*0.95</f>
        <v>110.04800000000002</v>
      </c>
      <c r="D1221" s="67" t="s">
        <v>1784</v>
      </c>
    </row>
    <row r="1222" spans="1:4" ht="15.75" x14ac:dyDescent="0.25">
      <c r="A1222" s="94" t="s">
        <v>2448</v>
      </c>
      <c r="B1222" s="67">
        <v>5116</v>
      </c>
      <c r="C1222" s="75">
        <v>2979</v>
      </c>
      <c r="D1222" s="67" t="s">
        <v>1784</v>
      </c>
    </row>
    <row r="1223" spans="1:4" ht="15.75" x14ac:dyDescent="0.25">
      <c r="A1223" s="94" t="s">
        <v>2449</v>
      </c>
      <c r="B1223" s="67">
        <v>5113</v>
      </c>
      <c r="C1223" s="75">
        <v>1562</v>
      </c>
      <c r="D1223" s="67" t="s">
        <v>1784</v>
      </c>
    </row>
    <row r="1224" spans="1:4" ht="15.75" x14ac:dyDescent="0.25">
      <c r="A1224" s="94" t="s">
        <v>2450</v>
      </c>
      <c r="B1224" s="67">
        <v>5115</v>
      </c>
      <c r="C1224" s="75">
        <v>2167</v>
      </c>
      <c r="D1224" s="67" t="s">
        <v>1784</v>
      </c>
    </row>
    <row r="1225" spans="1:4" ht="15.75" x14ac:dyDescent="0.25">
      <c r="A1225" s="94" t="s">
        <v>2451</v>
      </c>
      <c r="B1225" s="67">
        <v>5114</v>
      </c>
      <c r="C1225" s="75">
        <v>2363</v>
      </c>
      <c r="D1225" s="67" t="s">
        <v>1784</v>
      </c>
    </row>
    <row r="1226" spans="1:4" ht="15.75" x14ac:dyDescent="0.25">
      <c r="A1226" s="94" t="s">
        <v>2452</v>
      </c>
      <c r="B1226" s="67">
        <v>3236</v>
      </c>
      <c r="C1226" s="75">
        <v>5279</v>
      </c>
      <c r="D1226" s="67" t="s">
        <v>1784</v>
      </c>
    </row>
    <row r="1227" spans="1:4" x14ac:dyDescent="0.25">
      <c r="A1227" s="91" t="s">
        <v>2930</v>
      </c>
      <c r="B1227" s="67" t="s">
        <v>1195</v>
      </c>
      <c r="C1227" s="74">
        <f>150*0.8*0.95</f>
        <v>114</v>
      </c>
      <c r="D1227" s="67" t="s">
        <v>1784</v>
      </c>
    </row>
    <row r="1228" spans="1:4" x14ac:dyDescent="0.25">
      <c r="A1228" s="92" t="s">
        <v>3165</v>
      </c>
      <c r="B1228" s="67" t="s">
        <v>1196</v>
      </c>
      <c r="C1228" s="74">
        <f>133*0.8*0.95</f>
        <v>101.08</v>
      </c>
      <c r="D1228" s="67" t="s">
        <v>1784</v>
      </c>
    </row>
    <row r="1229" spans="1:4" ht="15.75" x14ac:dyDescent="0.25">
      <c r="A1229" s="94" t="s">
        <v>2525</v>
      </c>
      <c r="B1229" s="67">
        <v>314</v>
      </c>
      <c r="C1229" s="75">
        <v>75</v>
      </c>
      <c r="D1229" s="67" t="s">
        <v>1784</v>
      </c>
    </row>
    <row r="1230" spans="1:4" ht="15.75" x14ac:dyDescent="0.25">
      <c r="A1230" s="94" t="s">
        <v>2526</v>
      </c>
      <c r="B1230" s="67">
        <v>313</v>
      </c>
      <c r="C1230" s="75">
        <v>40</v>
      </c>
      <c r="D1230" s="67" t="s">
        <v>1784</v>
      </c>
    </row>
    <row r="1231" spans="1:4" ht="15.75" x14ac:dyDescent="0.25">
      <c r="A1231" s="94" t="s">
        <v>2527</v>
      </c>
      <c r="B1231" s="67">
        <v>306</v>
      </c>
      <c r="C1231" s="75">
        <v>51</v>
      </c>
      <c r="D1231" s="67" t="s">
        <v>1784</v>
      </c>
    </row>
    <row r="1232" spans="1:4" ht="15.75" x14ac:dyDescent="0.25">
      <c r="A1232" s="94" t="s">
        <v>2528</v>
      </c>
      <c r="B1232" s="67">
        <v>304</v>
      </c>
      <c r="C1232" s="75">
        <v>12.2</v>
      </c>
      <c r="D1232" s="67" t="s">
        <v>1784</v>
      </c>
    </row>
    <row r="1233" spans="1:4" ht="15.75" x14ac:dyDescent="0.25">
      <c r="A1233" s="94" t="s">
        <v>2529</v>
      </c>
      <c r="B1233" s="67">
        <v>305</v>
      </c>
      <c r="C1233" s="75">
        <v>23</v>
      </c>
      <c r="D1233" s="67" t="s">
        <v>1784</v>
      </c>
    </row>
    <row r="1234" spans="1:4" ht="15.75" x14ac:dyDescent="0.25">
      <c r="A1234" s="94" t="s">
        <v>2530</v>
      </c>
      <c r="B1234" s="67">
        <v>303</v>
      </c>
      <c r="C1234" s="75">
        <v>11</v>
      </c>
      <c r="D1234" s="67" t="s">
        <v>1784</v>
      </c>
    </row>
    <row r="1235" spans="1:4" ht="15.75" x14ac:dyDescent="0.25">
      <c r="A1235" s="94" t="s">
        <v>2531</v>
      </c>
      <c r="B1235" s="67">
        <v>312</v>
      </c>
      <c r="C1235" s="75">
        <v>68</v>
      </c>
      <c r="D1235" s="67" t="s">
        <v>1784</v>
      </c>
    </row>
    <row r="1236" spans="1:4" ht="15.75" x14ac:dyDescent="0.25">
      <c r="A1236" s="94" t="s">
        <v>2532</v>
      </c>
      <c r="B1236" s="67">
        <v>310</v>
      </c>
      <c r="C1236" s="75">
        <v>22</v>
      </c>
      <c r="D1236" s="67" t="s">
        <v>1784</v>
      </c>
    </row>
    <row r="1237" spans="1:4" ht="15.75" x14ac:dyDescent="0.25">
      <c r="A1237" s="94" t="s">
        <v>2533</v>
      </c>
      <c r="B1237" s="67">
        <v>311</v>
      </c>
      <c r="C1237" s="75">
        <v>31</v>
      </c>
      <c r="D1237" s="67" t="s">
        <v>1784</v>
      </c>
    </row>
    <row r="1238" spans="1:4" ht="15.75" x14ac:dyDescent="0.25">
      <c r="A1238" s="94" t="s">
        <v>2534</v>
      </c>
      <c r="B1238" s="67">
        <v>309</v>
      </c>
      <c r="C1238" s="75">
        <v>52</v>
      </c>
      <c r="D1238" s="67" t="s">
        <v>1784</v>
      </c>
    </row>
    <row r="1239" spans="1:4" ht="15.75" x14ac:dyDescent="0.25">
      <c r="A1239" s="94" t="s">
        <v>2535</v>
      </c>
      <c r="B1239" s="67">
        <v>307</v>
      </c>
      <c r="C1239" s="75">
        <v>16</v>
      </c>
      <c r="D1239" s="67" t="s">
        <v>1784</v>
      </c>
    </row>
    <row r="1240" spans="1:4" ht="15.75" x14ac:dyDescent="0.25">
      <c r="A1240" s="94" t="s">
        <v>2536</v>
      </c>
      <c r="B1240" s="67">
        <v>308</v>
      </c>
      <c r="C1240" s="75">
        <v>26</v>
      </c>
      <c r="D1240" s="67" t="s">
        <v>1784</v>
      </c>
    </row>
    <row r="1241" spans="1:4" ht="15.75" x14ac:dyDescent="0.25">
      <c r="A1241" s="94" t="s">
        <v>2537</v>
      </c>
      <c r="B1241" s="67">
        <v>1370</v>
      </c>
      <c r="C1241" s="75">
        <v>1549</v>
      </c>
      <c r="D1241" s="67" t="s">
        <v>1784</v>
      </c>
    </row>
    <row r="1242" spans="1:4" ht="15.75" x14ac:dyDescent="0.25">
      <c r="A1242" s="94" t="s">
        <v>2538</v>
      </c>
      <c r="B1242" s="67">
        <v>1020</v>
      </c>
      <c r="C1242" s="75">
        <v>89</v>
      </c>
      <c r="D1242" s="67" t="s">
        <v>1784</v>
      </c>
    </row>
    <row r="1243" spans="1:4" ht="15.75" x14ac:dyDescent="0.25">
      <c r="A1243" s="94" t="s">
        <v>2539</v>
      </c>
      <c r="B1243" s="67">
        <v>413</v>
      </c>
      <c r="C1243" s="75">
        <v>54</v>
      </c>
      <c r="D1243" s="67" t="s">
        <v>1784</v>
      </c>
    </row>
    <row r="1244" spans="1:4" ht="15.75" x14ac:dyDescent="0.25">
      <c r="A1244" s="94" t="s">
        <v>2540</v>
      </c>
      <c r="B1244" s="67">
        <v>411</v>
      </c>
      <c r="C1244" s="75">
        <v>48</v>
      </c>
      <c r="D1244" s="67" t="s">
        <v>1784</v>
      </c>
    </row>
    <row r="1245" spans="1:4" ht="15.75" x14ac:dyDescent="0.25">
      <c r="A1245" s="94" t="s">
        <v>2541</v>
      </c>
      <c r="B1245" s="67">
        <v>415</v>
      </c>
      <c r="C1245" s="75">
        <v>82</v>
      </c>
      <c r="D1245" s="67" t="s">
        <v>1784</v>
      </c>
    </row>
    <row r="1246" spans="1:4" ht="15.75" x14ac:dyDescent="0.25">
      <c r="A1246" s="94" t="s">
        <v>2542</v>
      </c>
      <c r="B1246" s="67">
        <v>414</v>
      </c>
      <c r="C1246" s="75">
        <v>57</v>
      </c>
      <c r="D1246" s="67" t="s">
        <v>1784</v>
      </c>
    </row>
    <row r="1247" spans="1:4" ht="15.75" x14ac:dyDescent="0.25">
      <c r="A1247" s="94" t="s">
        <v>2495</v>
      </c>
      <c r="B1247" s="67">
        <v>220</v>
      </c>
      <c r="C1247" s="75">
        <v>11.8</v>
      </c>
      <c r="D1247" s="67" t="s">
        <v>1784</v>
      </c>
    </row>
    <row r="1248" spans="1:4" ht="15.75" x14ac:dyDescent="0.25">
      <c r="A1248" s="94" t="s">
        <v>2496</v>
      </c>
      <c r="B1248" s="67">
        <v>248</v>
      </c>
      <c r="C1248" s="75">
        <v>123</v>
      </c>
      <c r="D1248" s="67" t="s">
        <v>1784</v>
      </c>
    </row>
    <row r="1249" spans="1:4" ht="15.75" x14ac:dyDescent="0.25">
      <c r="A1249" s="94" t="s">
        <v>2497</v>
      </c>
      <c r="B1249" s="67">
        <v>232</v>
      </c>
      <c r="C1249" s="75">
        <v>29</v>
      </c>
      <c r="D1249" s="67" t="s">
        <v>1784</v>
      </c>
    </row>
    <row r="1250" spans="1:4" ht="15.75" x14ac:dyDescent="0.25">
      <c r="A1250" s="94" t="s">
        <v>2498</v>
      </c>
      <c r="B1250" s="67">
        <v>224</v>
      </c>
      <c r="C1250" s="75">
        <v>10.6</v>
      </c>
      <c r="D1250" s="67" t="s">
        <v>1784</v>
      </c>
    </row>
    <row r="1251" spans="1:4" ht="15.75" x14ac:dyDescent="0.25">
      <c r="A1251" s="94" t="s">
        <v>2499</v>
      </c>
      <c r="B1251" s="67">
        <v>238</v>
      </c>
      <c r="C1251" s="75">
        <v>64</v>
      </c>
      <c r="D1251" s="67" t="s">
        <v>1784</v>
      </c>
    </row>
    <row r="1252" spans="1:4" ht="15.75" x14ac:dyDescent="0.25">
      <c r="A1252" s="94" t="s">
        <v>2500</v>
      </c>
      <c r="B1252" s="67">
        <v>227</v>
      </c>
      <c r="C1252" s="75">
        <v>16</v>
      </c>
      <c r="D1252" s="67" t="s">
        <v>1784</v>
      </c>
    </row>
    <row r="1253" spans="1:4" ht="15.75" x14ac:dyDescent="0.25">
      <c r="A1253" s="94" t="s">
        <v>2501</v>
      </c>
      <c r="B1253" s="67">
        <v>242</v>
      </c>
      <c r="C1253" s="75">
        <v>85</v>
      </c>
      <c r="D1253" s="67" t="s">
        <v>1784</v>
      </c>
    </row>
    <row r="1254" spans="1:4" ht="15.75" x14ac:dyDescent="0.25">
      <c r="A1254" s="94" t="s">
        <v>2502</v>
      </c>
      <c r="B1254" s="67">
        <v>229</v>
      </c>
      <c r="C1254" s="75">
        <v>23</v>
      </c>
      <c r="D1254" s="67" t="s">
        <v>1784</v>
      </c>
    </row>
    <row r="1255" spans="1:4" ht="15.75" x14ac:dyDescent="0.25">
      <c r="A1255" s="94" t="s">
        <v>2503</v>
      </c>
      <c r="B1255" s="67">
        <v>246</v>
      </c>
      <c r="C1255" s="75">
        <v>118</v>
      </c>
      <c r="D1255" s="67" t="s">
        <v>1784</v>
      </c>
    </row>
    <row r="1256" spans="1:4" ht="15.75" x14ac:dyDescent="0.25">
      <c r="A1256" s="94" t="s">
        <v>2504</v>
      </c>
      <c r="B1256" s="67">
        <v>231</v>
      </c>
      <c r="C1256" s="75">
        <v>27</v>
      </c>
      <c r="D1256" s="67" t="s">
        <v>1784</v>
      </c>
    </row>
    <row r="1257" spans="1:4" ht="15.75" x14ac:dyDescent="0.25">
      <c r="A1257" s="94" t="s">
        <v>2505</v>
      </c>
      <c r="B1257" s="67">
        <v>233</v>
      </c>
      <c r="C1257" s="75">
        <v>39</v>
      </c>
      <c r="D1257" s="67" t="s">
        <v>1784</v>
      </c>
    </row>
    <row r="1258" spans="1:4" ht="15.75" x14ac:dyDescent="0.25">
      <c r="A1258" s="94" t="s">
        <v>2506</v>
      </c>
      <c r="B1258" s="67">
        <v>235</v>
      </c>
      <c r="C1258" s="75">
        <v>50</v>
      </c>
      <c r="D1258" s="67" t="s">
        <v>1784</v>
      </c>
    </row>
    <row r="1259" spans="1:4" ht="15.75" x14ac:dyDescent="0.25">
      <c r="A1259" s="94" t="s">
        <v>2507</v>
      </c>
      <c r="B1259" s="67">
        <v>237</v>
      </c>
      <c r="C1259" s="75">
        <v>57</v>
      </c>
      <c r="D1259" s="67" t="s">
        <v>1784</v>
      </c>
    </row>
    <row r="1260" spans="1:4" ht="15.75" x14ac:dyDescent="0.25">
      <c r="A1260" s="94" t="s">
        <v>2508</v>
      </c>
      <c r="B1260" s="67">
        <v>239</v>
      </c>
      <c r="C1260" s="75">
        <v>72</v>
      </c>
      <c r="D1260" s="67" t="s">
        <v>1784</v>
      </c>
    </row>
    <row r="1261" spans="1:4" ht="15.75" x14ac:dyDescent="0.25">
      <c r="A1261" s="94" t="s">
        <v>2509</v>
      </c>
      <c r="B1261" s="67">
        <v>241</v>
      </c>
      <c r="C1261" s="75">
        <v>83</v>
      </c>
      <c r="D1261" s="67" t="s">
        <v>1784</v>
      </c>
    </row>
    <row r="1262" spans="1:4" ht="15.75" x14ac:dyDescent="0.25">
      <c r="A1262" s="94" t="s">
        <v>2510</v>
      </c>
      <c r="B1262" s="67">
        <v>243</v>
      </c>
      <c r="C1262" s="75">
        <v>95</v>
      </c>
      <c r="D1262" s="67" t="s">
        <v>1784</v>
      </c>
    </row>
    <row r="1263" spans="1:4" ht="15.75" x14ac:dyDescent="0.25">
      <c r="A1263" s="94" t="s">
        <v>2511</v>
      </c>
      <c r="B1263" s="67">
        <v>245</v>
      </c>
      <c r="C1263" s="75">
        <v>117</v>
      </c>
      <c r="D1263" s="67" t="s">
        <v>1784</v>
      </c>
    </row>
    <row r="1264" spans="1:4" ht="15.75" x14ac:dyDescent="0.25">
      <c r="A1264" s="94" t="s">
        <v>2512</v>
      </c>
      <c r="B1264" s="67">
        <v>228</v>
      </c>
      <c r="C1264" s="75">
        <v>16</v>
      </c>
      <c r="D1264" s="67" t="s">
        <v>1784</v>
      </c>
    </row>
    <row r="1265" spans="1:4" ht="15.75" x14ac:dyDescent="0.25">
      <c r="A1265" s="94" t="s">
        <v>2513</v>
      </c>
      <c r="B1265" s="67">
        <v>222</v>
      </c>
      <c r="C1265" s="75">
        <v>12.3</v>
      </c>
      <c r="D1265" s="67" t="s">
        <v>1784</v>
      </c>
    </row>
    <row r="1266" spans="1:4" ht="15.75" x14ac:dyDescent="0.25">
      <c r="A1266" s="94" t="s">
        <v>2514</v>
      </c>
      <c r="B1266" s="67">
        <v>219</v>
      </c>
      <c r="C1266" s="75">
        <v>11.8</v>
      </c>
      <c r="D1266" s="67" t="s">
        <v>1784</v>
      </c>
    </row>
    <row r="1267" spans="1:4" ht="15.75" x14ac:dyDescent="0.25">
      <c r="A1267" s="94" t="s">
        <v>2515</v>
      </c>
      <c r="B1267" s="67">
        <v>240</v>
      </c>
      <c r="C1267" s="75">
        <v>73</v>
      </c>
      <c r="D1267" s="67" t="s">
        <v>1784</v>
      </c>
    </row>
    <row r="1268" spans="1:4" ht="15.75" x14ac:dyDescent="0.25">
      <c r="A1268" s="94" t="s">
        <v>2516</v>
      </c>
      <c r="B1268" s="67">
        <v>247</v>
      </c>
      <c r="C1268" s="75">
        <v>123</v>
      </c>
      <c r="D1268" s="67" t="s">
        <v>1784</v>
      </c>
    </row>
    <row r="1269" spans="1:4" ht="15.75" x14ac:dyDescent="0.25">
      <c r="A1269" s="94" t="s">
        <v>2517</v>
      </c>
      <c r="B1269" s="67">
        <v>236</v>
      </c>
      <c r="C1269" s="75">
        <v>50</v>
      </c>
      <c r="D1269" s="67" t="s">
        <v>1784</v>
      </c>
    </row>
    <row r="1270" spans="1:4" ht="15.75" x14ac:dyDescent="0.25">
      <c r="A1270" s="94" t="s">
        <v>2518</v>
      </c>
      <c r="B1270" s="67">
        <v>226</v>
      </c>
      <c r="C1270" s="75">
        <v>14.6</v>
      </c>
      <c r="D1270" s="67" t="s">
        <v>1784</v>
      </c>
    </row>
    <row r="1271" spans="1:4" ht="15.75" x14ac:dyDescent="0.25">
      <c r="A1271" s="94" t="s">
        <v>2519</v>
      </c>
      <c r="B1271" s="67">
        <v>221</v>
      </c>
      <c r="C1271" s="75">
        <v>11.8</v>
      </c>
      <c r="D1271" s="67" t="s">
        <v>1784</v>
      </c>
    </row>
    <row r="1272" spans="1:4" ht="15.75" x14ac:dyDescent="0.25">
      <c r="A1272" s="94" t="s">
        <v>2520</v>
      </c>
      <c r="B1272" s="67">
        <v>244</v>
      </c>
      <c r="C1272" s="75">
        <v>99</v>
      </c>
      <c r="D1272" s="67" t="s">
        <v>1784</v>
      </c>
    </row>
    <row r="1273" spans="1:4" ht="15.75" x14ac:dyDescent="0.25">
      <c r="A1273" s="94" t="s">
        <v>2521</v>
      </c>
      <c r="B1273" s="67">
        <v>230</v>
      </c>
      <c r="C1273" s="75">
        <v>25</v>
      </c>
      <c r="D1273" s="67" t="s">
        <v>1784</v>
      </c>
    </row>
    <row r="1274" spans="1:4" ht="15.75" x14ac:dyDescent="0.25">
      <c r="A1274" s="94" t="s">
        <v>2522</v>
      </c>
      <c r="B1274" s="67">
        <v>223</v>
      </c>
      <c r="C1274" s="75">
        <v>12.2</v>
      </c>
      <c r="D1274" s="67" t="s">
        <v>1784</v>
      </c>
    </row>
    <row r="1275" spans="1:4" ht="15.75" x14ac:dyDescent="0.25">
      <c r="A1275" s="94" t="s">
        <v>2523</v>
      </c>
      <c r="B1275" s="67">
        <v>234</v>
      </c>
      <c r="C1275" s="75">
        <v>46</v>
      </c>
      <c r="D1275" s="67" t="s">
        <v>1784</v>
      </c>
    </row>
    <row r="1276" spans="1:4" ht="15.75" x14ac:dyDescent="0.25">
      <c r="A1276" s="94" t="s">
        <v>2524</v>
      </c>
      <c r="B1276" s="67">
        <v>225</v>
      </c>
      <c r="C1276" s="75">
        <v>13.2</v>
      </c>
      <c r="D1276" s="67" t="s">
        <v>1784</v>
      </c>
    </row>
    <row r="1277" spans="1:4" ht="15.75" x14ac:dyDescent="0.25">
      <c r="A1277" s="94" t="s">
        <v>2408</v>
      </c>
      <c r="B1277" s="67">
        <v>2677</v>
      </c>
      <c r="C1277" s="75">
        <v>355</v>
      </c>
      <c r="D1277" s="67" t="s">
        <v>1784</v>
      </c>
    </row>
    <row r="1278" spans="1:4" ht="15.75" x14ac:dyDescent="0.25">
      <c r="A1278" s="94" t="s">
        <v>2417</v>
      </c>
      <c r="B1278" s="67">
        <v>2264</v>
      </c>
      <c r="C1278" s="75">
        <v>1269</v>
      </c>
      <c r="D1278" s="67" t="s">
        <v>1784</v>
      </c>
    </row>
    <row r="1279" spans="1:4" ht="15.75" x14ac:dyDescent="0.25">
      <c r="A1279" s="94" t="s">
        <v>1956</v>
      </c>
      <c r="B1279" s="67">
        <v>2431</v>
      </c>
      <c r="C1279" s="75">
        <v>1648</v>
      </c>
      <c r="D1279" s="67" t="s">
        <v>1784</v>
      </c>
    </row>
    <row r="1280" spans="1:4" ht="15.75" x14ac:dyDescent="0.25">
      <c r="A1280" s="94" t="s">
        <v>1957</v>
      </c>
      <c r="B1280" s="67">
        <v>2453</v>
      </c>
      <c r="C1280" s="75">
        <v>2807</v>
      </c>
      <c r="D1280" s="67" t="s">
        <v>1784</v>
      </c>
    </row>
    <row r="1281" spans="1:4" ht="15.75" x14ac:dyDescent="0.25">
      <c r="A1281" s="94" t="s">
        <v>1958</v>
      </c>
      <c r="B1281" s="67">
        <v>2247</v>
      </c>
      <c r="C1281" s="75">
        <v>2322</v>
      </c>
      <c r="D1281" s="67" t="s">
        <v>1784</v>
      </c>
    </row>
    <row r="1282" spans="1:4" ht="15.75" x14ac:dyDescent="0.25">
      <c r="A1282" s="94" t="s">
        <v>1959</v>
      </c>
      <c r="B1282" s="67">
        <v>2541</v>
      </c>
      <c r="C1282" s="75">
        <v>5046</v>
      </c>
      <c r="D1282" s="67" t="s">
        <v>1784</v>
      </c>
    </row>
    <row r="1283" spans="1:4" ht="15.75" x14ac:dyDescent="0.25">
      <c r="A1283" s="94" t="s">
        <v>2422</v>
      </c>
      <c r="B1283" s="67">
        <v>3247</v>
      </c>
      <c r="C1283" s="75">
        <v>5940</v>
      </c>
      <c r="D1283" s="67" t="s">
        <v>1784</v>
      </c>
    </row>
    <row r="1284" spans="1:4" ht="15.75" x14ac:dyDescent="0.25">
      <c r="A1284" s="94" t="s">
        <v>2049</v>
      </c>
      <c r="B1284" s="67">
        <v>4328</v>
      </c>
      <c r="C1284" s="75">
        <v>1747</v>
      </c>
      <c r="D1284" s="67" t="s">
        <v>1784</v>
      </c>
    </row>
    <row r="1285" spans="1:4" ht="15.75" x14ac:dyDescent="0.25">
      <c r="A1285" s="94" t="s">
        <v>2050</v>
      </c>
      <c r="B1285" s="67">
        <v>4329</v>
      </c>
      <c r="C1285" s="75">
        <v>2638</v>
      </c>
      <c r="D1285" s="67" t="s">
        <v>1784</v>
      </c>
    </row>
    <row r="1286" spans="1:4" ht="15.75" x14ac:dyDescent="0.25">
      <c r="A1286" s="94" t="s">
        <v>2051</v>
      </c>
      <c r="B1286" s="67">
        <v>3115</v>
      </c>
      <c r="C1286" s="75">
        <v>3735</v>
      </c>
      <c r="D1286" s="67" t="s">
        <v>1784</v>
      </c>
    </row>
    <row r="1287" spans="1:4" ht="15.75" x14ac:dyDescent="0.25">
      <c r="A1287" s="94" t="s">
        <v>2453</v>
      </c>
      <c r="B1287" s="67">
        <v>4986</v>
      </c>
      <c r="C1287" s="75">
        <v>4288</v>
      </c>
      <c r="D1287" s="67" t="s">
        <v>1784</v>
      </c>
    </row>
    <row r="1288" spans="1:4" ht="15.75" x14ac:dyDescent="0.25">
      <c r="A1288" s="94" t="s">
        <v>2144</v>
      </c>
      <c r="B1288" s="67">
        <v>3534</v>
      </c>
      <c r="C1288" s="75">
        <v>1418</v>
      </c>
      <c r="D1288" s="67" t="s">
        <v>1784</v>
      </c>
    </row>
    <row r="1289" spans="1:4" ht="15.75" x14ac:dyDescent="0.25">
      <c r="A1289" s="94" t="s">
        <v>2145</v>
      </c>
      <c r="B1289" s="67">
        <v>1166</v>
      </c>
      <c r="C1289" s="75">
        <v>1538</v>
      </c>
      <c r="D1289" s="67" t="s">
        <v>1784</v>
      </c>
    </row>
    <row r="1290" spans="1:4" ht="15.75" x14ac:dyDescent="0.25">
      <c r="A1290" s="94" t="s">
        <v>2146</v>
      </c>
      <c r="B1290" s="67">
        <v>1169</v>
      </c>
      <c r="C1290" s="75">
        <v>1602</v>
      </c>
      <c r="D1290" s="67" t="s">
        <v>1784</v>
      </c>
    </row>
    <row r="1291" spans="1:4" ht="15.75" x14ac:dyDescent="0.25">
      <c r="A1291" s="94" t="s">
        <v>2147</v>
      </c>
      <c r="B1291" s="67">
        <v>1013</v>
      </c>
      <c r="C1291" s="75">
        <v>2680</v>
      </c>
      <c r="D1291" s="67" t="s">
        <v>1784</v>
      </c>
    </row>
    <row r="1292" spans="1:4" ht="15.75" x14ac:dyDescent="0.25">
      <c r="A1292" s="94" t="s">
        <v>2148</v>
      </c>
      <c r="B1292" s="67">
        <v>1080</v>
      </c>
      <c r="C1292" s="75">
        <v>3273</v>
      </c>
      <c r="D1292" s="67" t="s">
        <v>1784</v>
      </c>
    </row>
    <row r="1293" spans="1:4" ht="15.75" x14ac:dyDescent="0.25">
      <c r="A1293" s="94" t="s">
        <v>2149</v>
      </c>
      <c r="B1293" s="67">
        <v>1653</v>
      </c>
      <c r="C1293" s="75">
        <v>4783</v>
      </c>
      <c r="D1293" s="67" t="s">
        <v>1784</v>
      </c>
    </row>
    <row r="1294" spans="1:4" ht="15.75" x14ac:dyDescent="0.25">
      <c r="A1294" s="94" t="s">
        <v>2454</v>
      </c>
      <c r="B1294" s="67">
        <v>4517</v>
      </c>
      <c r="C1294" s="75">
        <v>4285</v>
      </c>
      <c r="D1294" s="67" t="s">
        <v>1784</v>
      </c>
    </row>
    <row r="1295" spans="1:4" ht="15.75" x14ac:dyDescent="0.25">
      <c r="A1295" s="94" t="s">
        <v>2325</v>
      </c>
      <c r="B1295" s="67">
        <v>4454</v>
      </c>
      <c r="C1295" s="75">
        <v>3594</v>
      </c>
      <c r="D1295" s="67" t="s">
        <v>1784</v>
      </c>
    </row>
    <row r="1296" spans="1:4" ht="15.75" x14ac:dyDescent="0.25">
      <c r="A1296" s="94" t="s">
        <v>2326</v>
      </c>
      <c r="B1296" s="67">
        <v>4219</v>
      </c>
      <c r="C1296" s="75">
        <v>5847</v>
      </c>
      <c r="D1296" s="67" t="s">
        <v>1784</v>
      </c>
    </row>
    <row r="1297" spans="1:4" ht="15.75" x14ac:dyDescent="0.25">
      <c r="A1297" s="94" t="s">
        <v>2327</v>
      </c>
      <c r="B1297" s="67">
        <v>4427</v>
      </c>
      <c r="C1297" s="75">
        <v>6294</v>
      </c>
      <c r="D1297" s="67" t="s">
        <v>1784</v>
      </c>
    </row>
    <row r="1298" spans="1:4" x14ac:dyDescent="0.25">
      <c r="A1298" s="91" t="s">
        <v>2792</v>
      </c>
      <c r="B1298" s="67" t="s">
        <v>1197</v>
      </c>
      <c r="C1298" s="74">
        <f>1170.09*0.8*0.95</f>
        <v>889.26839999999993</v>
      </c>
      <c r="D1298" s="67" t="s">
        <v>1784</v>
      </c>
    </row>
    <row r="1299" spans="1:4" x14ac:dyDescent="0.25">
      <c r="A1299" s="91" t="s">
        <v>2791</v>
      </c>
      <c r="B1299" s="67" t="s">
        <v>1198</v>
      </c>
      <c r="C1299" s="74">
        <f>1125.2*0.8*0.95</f>
        <v>855.15200000000004</v>
      </c>
      <c r="D1299" s="67" t="s">
        <v>1784</v>
      </c>
    </row>
    <row r="1300" spans="1:4" x14ac:dyDescent="0.25">
      <c r="A1300" s="92" t="s">
        <v>2788</v>
      </c>
      <c r="B1300" s="67" t="s">
        <v>1199</v>
      </c>
      <c r="C1300" s="74">
        <f>1085.06*0.8*0.95</f>
        <v>824.64559999999994</v>
      </c>
      <c r="D1300" s="67" t="s">
        <v>1784</v>
      </c>
    </row>
    <row r="1301" spans="1:4" x14ac:dyDescent="0.25">
      <c r="A1301" s="92" t="s">
        <v>2789</v>
      </c>
      <c r="B1301" s="67" t="s">
        <v>1200</v>
      </c>
      <c r="C1301" s="74">
        <f>1125.72*0.8*0.95</f>
        <v>855.54719999999998</v>
      </c>
      <c r="D1301" s="67" t="s">
        <v>1784</v>
      </c>
    </row>
    <row r="1302" spans="1:4" x14ac:dyDescent="0.25">
      <c r="A1302" s="92" t="s">
        <v>2790</v>
      </c>
      <c r="B1302" s="67" t="s">
        <v>1201</v>
      </c>
      <c r="C1302" s="74">
        <f>1089.5*0.8*0.95</f>
        <v>828.02</v>
      </c>
      <c r="D1302" s="67" t="s">
        <v>1784</v>
      </c>
    </row>
    <row r="1303" spans="1:4" x14ac:dyDescent="0.25">
      <c r="A1303" s="92" t="s">
        <v>2787</v>
      </c>
      <c r="B1303" s="67" t="s">
        <v>1202</v>
      </c>
      <c r="C1303" s="74">
        <f>1195.09*0.8*0.95</f>
        <v>908.26839999999993</v>
      </c>
      <c r="D1303" s="67" t="s">
        <v>1784</v>
      </c>
    </row>
    <row r="1304" spans="1:4" x14ac:dyDescent="0.25">
      <c r="A1304" s="91" t="s">
        <v>2826</v>
      </c>
      <c r="B1304" s="67" t="s">
        <v>1203</v>
      </c>
      <c r="C1304" s="74">
        <f>1025.13*0.8*0.95</f>
        <v>779.0988000000001</v>
      </c>
      <c r="D1304" s="67" t="s">
        <v>1784</v>
      </c>
    </row>
    <row r="1305" spans="1:4" x14ac:dyDescent="0.25">
      <c r="A1305" s="91" t="s">
        <v>2823</v>
      </c>
      <c r="B1305" s="67" t="s">
        <v>1204</v>
      </c>
      <c r="C1305" s="74">
        <f>1146.47*0.8*0.95</f>
        <v>871.31719999999996</v>
      </c>
      <c r="D1305" s="67" t="s">
        <v>1784</v>
      </c>
    </row>
    <row r="1306" spans="1:4" x14ac:dyDescent="0.25">
      <c r="A1306" s="91" t="s">
        <v>2828</v>
      </c>
      <c r="B1306" s="67" t="s">
        <v>1205</v>
      </c>
      <c r="C1306" s="74">
        <f>1116.9*0.8*0.95</f>
        <v>848.84400000000005</v>
      </c>
      <c r="D1306" s="67" t="s">
        <v>1784</v>
      </c>
    </row>
    <row r="1307" spans="1:4" x14ac:dyDescent="0.25">
      <c r="A1307" s="91" t="s">
        <v>2827</v>
      </c>
      <c r="B1307" s="67" t="s">
        <v>1206</v>
      </c>
      <c r="C1307" s="74">
        <f>1067.7*0.8*0.95</f>
        <v>811.452</v>
      </c>
      <c r="D1307" s="67" t="s">
        <v>1784</v>
      </c>
    </row>
    <row r="1308" spans="1:4" x14ac:dyDescent="0.25">
      <c r="A1308" s="91" t="s">
        <v>2824</v>
      </c>
      <c r="B1308" s="67" t="s">
        <v>1207</v>
      </c>
      <c r="C1308" s="74">
        <f>1025.13*0.8*0.95</f>
        <v>779.0988000000001</v>
      </c>
      <c r="D1308" s="67" t="s">
        <v>1784</v>
      </c>
    </row>
    <row r="1309" spans="1:4" x14ac:dyDescent="0.25">
      <c r="A1309" s="91" t="s">
        <v>2825</v>
      </c>
      <c r="B1309" s="67" t="s">
        <v>1208</v>
      </c>
      <c r="C1309" s="74">
        <f>1077.34*0.8*0.95</f>
        <v>818.77839999999992</v>
      </c>
      <c r="D1309" s="67" t="s">
        <v>1784</v>
      </c>
    </row>
    <row r="1310" spans="1:4" x14ac:dyDescent="0.25">
      <c r="A1310" s="91" t="s">
        <v>2798</v>
      </c>
      <c r="B1310" s="67" t="s">
        <v>1209</v>
      </c>
      <c r="C1310" s="74">
        <f>1265.87*0.8*0.95</f>
        <v>962.06119999999987</v>
      </c>
      <c r="D1310" s="67" t="s">
        <v>1784</v>
      </c>
    </row>
    <row r="1311" spans="1:4" x14ac:dyDescent="0.25">
      <c r="A1311" s="92" t="s">
        <v>2796</v>
      </c>
      <c r="B1311" s="67" t="s">
        <v>1210</v>
      </c>
      <c r="C1311" s="74">
        <f>1174*0.8*0.95</f>
        <v>892.24</v>
      </c>
      <c r="D1311" s="67" t="s">
        <v>1784</v>
      </c>
    </row>
    <row r="1312" spans="1:4" x14ac:dyDescent="0.25">
      <c r="A1312" s="91" t="s">
        <v>2797</v>
      </c>
      <c r="B1312" s="67" t="s">
        <v>1211</v>
      </c>
      <c r="C1312" s="74">
        <f>1215.01*0.8*0.95</f>
        <v>923.4076</v>
      </c>
      <c r="D1312" s="67" t="s">
        <v>1784</v>
      </c>
    </row>
    <row r="1313" spans="1:4" x14ac:dyDescent="0.25">
      <c r="A1313" s="92" t="s">
        <v>2795</v>
      </c>
      <c r="B1313" s="67" t="s">
        <v>1212</v>
      </c>
      <c r="C1313" s="74">
        <f>1216.54*0.8*0.95</f>
        <v>924.57039999999995</v>
      </c>
      <c r="D1313" s="67" t="s">
        <v>1784</v>
      </c>
    </row>
    <row r="1314" spans="1:4" x14ac:dyDescent="0.25">
      <c r="A1314" s="92" t="s">
        <v>2793</v>
      </c>
      <c r="B1314" s="67" t="s">
        <v>1213</v>
      </c>
      <c r="C1314" s="74">
        <f>1294.54*0.8*0.95</f>
        <v>983.85040000000004</v>
      </c>
      <c r="D1314" s="67" t="s">
        <v>1784</v>
      </c>
    </row>
    <row r="1315" spans="1:4" x14ac:dyDescent="0.25">
      <c r="A1315" s="92" t="s">
        <v>2794</v>
      </c>
      <c r="B1315" s="67" t="s">
        <v>1214</v>
      </c>
      <c r="C1315" s="74">
        <f>1169.56*0.8*0.95</f>
        <v>888.86559999999997</v>
      </c>
      <c r="D1315" s="67" t="s">
        <v>1784</v>
      </c>
    </row>
    <row r="1316" spans="1:4" x14ac:dyDescent="0.25">
      <c r="A1316" s="91" t="s">
        <v>2832</v>
      </c>
      <c r="B1316" s="67" t="s">
        <v>1215</v>
      </c>
      <c r="C1316" s="74">
        <f>1109.63*0.8*0.95</f>
        <v>843.31880000000012</v>
      </c>
      <c r="D1316" s="67" t="s">
        <v>1784</v>
      </c>
    </row>
    <row r="1317" spans="1:4" x14ac:dyDescent="0.25">
      <c r="A1317" s="91" t="s">
        <v>2829</v>
      </c>
      <c r="B1317" s="67" t="s">
        <v>1216</v>
      </c>
      <c r="C1317" s="74">
        <f>1245.92*0.8*0.95</f>
        <v>946.89920000000006</v>
      </c>
      <c r="D1317" s="67" t="s">
        <v>1784</v>
      </c>
    </row>
    <row r="1318" spans="1:4" x14ac:dyDescent="0.25">
      <c r="A1318" s="91" t="s">
        <v>2834</v>
      </c>
      <c r="B1318" s="67" t="s">
        <v>1217</v>
      </c>
      <c r="C1318" s="74">
        <f>1212.68*0.8*0.95</f>
        <v>921.63680000000011</v>
      </c>
      <c r="D1318" s="67" t="s">
        <v>1784</v>
      </c>
    </row>
    <row r="1319" spans="1:4" x14ac:dyDescent="0.25">
      <c r="A1319" s="91" t="s">
        <v>2833</v>
      </c>
      <c r="B1319" s="67" t="s">
        <v>1218</v>
      </c>
      <c r="C1319" s="74">
        <f>1157.51*0.8*0.95</f>
        <v>879.70759999999996</v>
      </c>
      <c r="D1319" s="67" t="s">
        <v>1784</v>
      </c>
    </row>
    <row r="1320" spans="1:4" x14ac:dyDescent="0.25">
      <c r="A1320" s="91" t="s">
        <v>2830</v>
      </c>
      <c r="B1320" s="67" t="s">
        <v>1219</v>
      </c>
      <c r="C1320" s="74">
        <f>1109.63*0.8*0.95</f>
        <v>843.31880000000012</v>
      </c>
      <c r="D1320" s="67" t="s">
        <v>1784</v>
      </c>
    </row>
    <row r="1321" spans="1:4" x14ac:dyDescent="0.25">
      <c r="A1321" s="91" t="s">
        <v>2831</v>
      </c>
      <c r="B1321" s="67" t="s">
        <v>1220</v>
      </c>
      <c r="C1321" s="74">
        <f>1168.16*0.8*0.95</f>
        <v>887.80160000000012</v>
      </c>
      <c r="D1321" s="67" t="s">
        <v>1784</v>
      </c>
    </row>
    <row r="1322" spans="1:4" x14ac:dyDescent="0.25">
      <c r="A1322" s="91" t="s">
        <v>2804</v>
      </c>
      <c r="B1322" s="67" t="s">
        <v>1221</v>
      </c>
      <c r="C1322" s="74">
        <f>1425.19*0.8*0.95</f>
        <v>1083.1443999999999</v>
      </c>
      <c r="D1322" s="67" t="s">
        <v>1784</v>
      </c>
    </row>
    <row r="1323" spans="1:4" x14ac:dyDescent="0.25">
      <c r="A1323" s="91" t="s">
        <v>2803</v>
      </c>
      <c r="B1323" s="67" t="s">
        <v>1222</v>
      </c>
      <c r="C1323" s="74">
        <f>1364.03*0.8*0.95</f>
        <v>1036.6627999999998</v>
      </c>
      <c r="D1323" s="67" t="s">
        <v>1784</v>
      </c>
    </row>
    <row r="1324" spans="1:4" x14ac:dyDescent="0.25">
      <c r="A1324" s="92" t="s">
        <v>2801</v>
      </c>
      <c r="B1324" s="67" t="s">
        <v>1223</v>
      </c>
      <c r="C1324" s="74">
        <f>1367.55*0.8*0.95</f>
        <v>1039.338</v>
      </c>
      <c r="D1324" s="67" t="s">
        <v>1784</v>
      </c>
    </row>
    <row r="1325" spans="1:4" x14ac:dyDescent="0.25">
      <c r="A1325" s="92" t="s">
        <v>2802</v>
      </c>
      <c r="B1325" s="67" t="s">
        <v>1224</v>
      </c>
      <c r="C1325" s="74">
        <f>1314.04*0.8*0.95</f>
        <v>998.67039999999997</v>
      </c>
      <c r="D1325" s="67" t="s">
        <v>1784</v>
      </c>
    </row>
    <row r="1326" spans="1:4" x14ac:dyDescent="0.25">
      <c r="A1326" s="92" t="s">
        <v>2799</v>
      </c>
      <c r="B1326" s="67" t="s">
        <v>1225</v>
      </c>
      <c r="C1326" s="74">
        <f>1459.85*0.8*0.95</f>
        <v>1109.4859999999999</v>
      </c>
      <c r="D1326" s="67" t="s">
        <v>1784</v>
      </c>
    </row>
    <row r="1327" spans="1:4" x14ac:dyDescent="0.25">
      <c r="A1327" s="92" t="s">
        <v>2800</v>
      </c>
      <c r="B1327" s="67" t="s">
        <v>1226</v>
      </c>
      <c r="C1327" s="74">
        <f>1309.6*0.8*0.95</f>
        <v>995.29600000000005</v>
      </c>
      <c r="D1327" s="67" t="s">
        <v>1784</v>
      </c>
    </row>
    <row r="1328" spans="1:4" x14ac:dyDescent="0.25">
      <c r="A1328" s="91" t="s">
        <v>2838</v>
      </c>
      <c r="B1328" s="67" t="s">
        <v>1227</v>
      </c>
      <c r="C1328" s="74">
        <f>1249.67*0.8*0.95</f>
        <v>949.74920000000009</v>
      </c>
      <c r="D1328" s="67" t="s">
        <v>1784</v>
      </c>
    </row>
    <row r="1329" spans="1:4" x14ac:dyDescent="0.25">
      <c r="A1329" s="91" t="s">
        <v>2835</v>
      </c>
      <c r="B1329" s="67" t="s">
        <v>1228</v>
      </c>
      <c r="C1329" s="74">
        <f>1411.23*0.8*0.95</f>
        <v>1072.5348000000001</v>
      </c>
      <c r="D1329" s="67" t="s">
        <v>1784</v>
      </c>
    </row>
    <row r="1330" spans="1:4" x14ac:dyDescent="0.25">
      <c r="A1330" s="91" t="s">
        <v>2840</v>
      </c>
      <c r="B1330" s="67" t="s">
        <v>1229</v>
      </c>
      <c r="C1330" s="74">
        <f>1372.01*0.8*0.95</f>
        <v>1042.7275999999999</v>
      </c>
      <c r="D1330" s="67" t="s">
        <v>1784</v>
      </c>
    </row>
    <row r="1331" spans="1:4" x14ac:dyDescent="0.25">
      <c r="A1331" s="91" t="s">
        <v>2839</v>
      </c>
      <c r="B1331" s="67" t="s">
        <v>1230</v>
      </c>
      <c r="C1331" s="74">
        <f>1306.53*0.8*0.95</f>
        <v>992.9627999999999</v>
      </c>
      <c r="D1331" s="67" t="s">
        <v>1784</v>
      </c>
    </row>
    <row r="1332" spans="1:4" x14ac:dyDescent="0.25">
      <c r="A1332" s="91" t="s">
        <v>2836</v>
      </c>
      <c r="B1332" s="67" t="s">
        <v>1231</v>
      </c>
      <c r="C1332" s="74">
        <f>1249.67*0.8*0.95</f>
        <v>949.74920000000009</v>
      </c>
      <c r="D1332" s="67" t="s">
        <v>1784</v>
      </c>
    </row>
    <row r="1333" spans="1:4" x14ac:dyDescent="0.25">
      <c r="A1333" s="91" t="s">
        <v>2837</v>
      </c>
      <c r="B1333" s="67" t="s">
        <v>1232</v>
      </c>
      <c r="C1333" s="74">
        <f>1319.16*0.8*0.95</f>
        <v>1002.5616000000001</v>
      </c>
      <c r="D1333" s="67" t="s">
        <v>1784</v>
      </c>
    </row>
    <row r="1334" spans="1:4" x14ac:dyDescent="0.25">
      <c r="A1334" s="91" t="s">
        <v>2808</v>
      </c>
      <c r="B1334" s="67" t="s">
        <v>1233</v>
      </c>
      <c r="C1334" s="74">
        <f>1146.45*0.8*0.95</f>
        <v>871.30200000000002</v>
      </c>
      <c r="D1334" s="67" t="s">
        <v>1784</v>
      </c>
    </row>
    <row r="1335" spans="1:4" x14ac:dyDescent="0.25">
      <c r="A1335" s="91" t="s">
        <v>2805</v>
      </c>
      <c r="B1335" s="67" t="s">
        <v>1234</v>
      </c>
      <c r="C1335" s="74">
        <f>1338.13*0.8*0.95</f>
        <v>1016.9788000000001</v>
      </c>
      <c r="D1335" s="67" t="s">
        <v>1784</v>
      </c>
    </row>
    <row r="1336" spans="1:4" x14ac:dyDescent="0.25">
      <c r="A1336" s="91" t="s">
        <v>2810</v>
      </c>
      <c r="B1336" s="67" t="s">
        <v>1235</v>
      </c>
      <c r="C1336" s="74">
        <f>1313.12*0.8*0.95</f>
        <v>997.97119999999984</v>
      </c>
      <c r="D1336" s="67" t="s">
        <v>1784</v>
      </c>
    </row>
    <row r="1337" spans="1:4" x14ac:dyDescent="0.25">
      <c r="A1337" s="91" t="s">
        <v>2809</v>
      </c>
      <c r="B1337" s="67" t="s">
        <v>1236</v>
      </c>
      <c r="C1337" s="74">
        <f>1268.23*0.8*0.95</f>
        <v>963.85480000000007</v>
      </c>
      <c r="D1337" s="67" t="s">
        <v>1784</v>
      </c>
    </row>
    <row r="1338" spans="1:4" x14ac:dyDescent="0.25">
      <c r="A1338" s="91" t="s">
        <v>2806</v>
      </c>
      <c r="B1338" s="67" t="s">
        <v>1237</v>
      </c>
      <c r="C1338" s="74">
        <f>1228*0.8*0.95</f>
        <v>933.28000000000009</v>
      </c>
      <c r="D1338" s="67" t="s">
        <v>1784</v>
      </c>
    </row>
    <row r="1339" spans="1:4" x14ac:dyDescent="0.25">
      <c r="A1339" s="91" t="s">
        <v>2807</v>
      </c>
      <c r="B1339" s="67" t="s">
        <v>1238</v>
      </c>
      <c r="C1339" s="74">
        <f>1268.76*0.8*0.95</f>
        <v>964.25760000000002</v>
      </c>
      <c r="D1339" s="67" t="s">
        <v>1784</v>
      </c>
    </row>
    <row r="1340" spans="1:4" x14ac:dyDescent="0.25">
      <c r="A1340" s="91" t="s">
        <v>2814</v>
      </c>
      <c r="B1340" s="67" t="s">
        <v>1239</v>
      </c>
      <c r="C1340" s="74">
        <f>1230.96*0.8*0.95</f>
        <v>935.52959999999996</v>
      </c>
      <c r="D1340" s="67" t="s">
        <v>1784</v>
      </c>
    </row>
    <row r="1341" spans="1:4" x14ac:dyDescent="0.25">
      <c r="A1341" s="91" t="s">
        <v>2811</v>
      </c>
      <c r="B1341" s="67" t="s">
        <v>1240</v>
      </c>
      <c r="C1341" s="74">
        <f>1437.57*0.8*0.95</f>
        <v>1092.5532000000001</v>
      </c>
      <c r="D1341" s="67" t="s">
        <v>1784</v>
      </c>
    </row>
    <row r="1342" spans="1:4" x14ac:dyDescent="0.25">
      <c r="A1342" s="91" t="s">
        <v>2816</v>
      </c>
      <c r="B1342" s="67" t="s">
        <v>1241</v>
      </c>
      <c r="C1342" s="74">
        <f>1408.9*0.8*0.95</f>
        <v>1070.7640000000001</v>
      </c>
      <c r="D1342" s="67" t="s">
        <v>1784</v>
      </c>
    </row>
    <row r="1343" spans="1:4" x14ac:dyDescent="0.25">
      <c r="A1343" s="91" t="s">
        <v>2815</v>
      </c>
      <c r="B1343" s="67" t="s">
        <v>1242</v>
      </c>
      <c r="C1343" s="74">
        <f>1358.04*0.8*0.95</f>
        <v>1032.1104</v>
      </c>
      <c r="D1343" s="67" t="s">
        <v>1784</v>
      </c>
    </row>
    <row r="1344" spans="1:4" x14ac:dyDescent="0.25">
      <c r="A1344" s="91" t="s">
        <v>2812</v>
      </c>
      <c r="B1344" s="67" t="s">
        <v>1243</v>
      </c>
      <c r="C1344" s="74">
        <f>1312.6*0.8*0.95</f>
        <v>997.57599999999991</v>
      </c>
      <c r="D1344" s="67" t="s">
        <v>1784</v>
      </c>
    </row>
    <row r="1345" spans="1:4" x14ac:dyDescent="0.25">
      <c r="A1345" s="91" t="s">
        <v>2813</v>
      </c>
      <c r="B1345" s="67" t="s">
        <v>1244</v>
      </c>
      <c r="C1345" s="74">
        <f>1359.58*0.8*0.95</f>
        <v>1033.2808</v>
      </c>
      <c r="D1345" s="67" t="s">
        <v>1784</v>
      </c>
    </row>
    <row r="1346" spans="1:4" x14ac:dyDescent="0.25">
      <c r="A1346" s="91" t="s">
        <v>2820</v>
      </c>
      <c r="B1346" s="67" t="s">
        <v>1245</v>
      </c>
      <c r="C1346" s="74">
        <f>1371*0.8*0.95</f>
        <v>1041.9599999999998</v>
      </c>
      <c r="D1346" s="67" t="s">
        <v>1784</v>
      </c>
    </row>
    <row r="1347" spans="1:4" x14ac:dyDescent="0.25">
      <c r="A1347" s="91" t="s">
        <v>2817</v>
      </c>
      <c r="B1347" s="67" t="s">
        <v>1246</v>
      </c>
      <c r="C1347" s="74">
        <f>1602.88*0.8*0.95</f>
        <v>1218.1888000000001</v>
      </c>
      <c r="D1347" s="67" t="s">
        <v>1784</v>
      </c>
    </row>
    <row r="1348" spans="1:4" x14ac:dyDescent="0.25">
      <c r="A1348" s="91" t="s">
        <v>2822</v>
      </c>
      <c r="B1348" s="67" t="s">
        <v>1247</v>
      </c>
      <c r="C1348" s="74">
        <f>1568.22*0.8*0.95</f>
        <v>1191.8471999999999</v>
      </c>
      <c r="D1348" s="67" t="s">
        <v>1784</v>
      </c>
    </row>
    <row r="1349" spans="1:4" x14ac:dyDescent="0.25">
      <c r="A1349" s="91" t="s">
        <v>2821</v>
      </c>
      <c r="B1349" s="67" t="s">
        <v>1248</v>
      </c>
      <c r="C1349" s="74">
        <f>1507.06*0.8*0.95</f>
        <v>1145.3655999999999</v>
      </c>
      <c r="D1349" s="67" t="s">
        <v>1784</v>
      </c>
    </row>
    <row r="1350" spans="1:4" x14ac:dyDescent="0.25">
      <c r="A1350" s="91" t="s">
        <v>2818</v>
      </c>
      <c r="B1350" s="67" t="s">
        <v>1249</v>
      </c>
      <c r="C1350" s="74">
        <f>1452.63*0.8*0.95</f>
        <v>1103.9988000000001</v>
      </c>
      <c r="D1350" s="67" t="s">
        <v>1784</v>
      </c>
    </row>
    <row r="1351" spans="1:4" x14ac:dyDescent="0.25">
      <c r="A1351" s="91" t="s">
        <v>2819</v>
      </c>
      <c r="B1351" s="67" t="s">
        <v>1250</v>
      </c>
      <c r="C1351" s="74">
        <f>1510.58*0.8*0.95</f>
        <v>1148.0408</v>
      </c>
      <c r="D1351" s="67" t="s">
        <v>1784</v>
      </c>
    </row>
    <row r="1352" spans="1:4" x14ac:dyDescent="0.25">
      <c r="A1352" s="91" t="s">
        <v>2854</v>
      </c>
      <c r="B1352" s="67" t="s">
        <v>1251</v>
      </c>
      <c r="C1352" s="74">
        <f>1601.44*0.8*0.95</f>
        <v>1217.0944</v>
      </c>
      <c r="D1352" s="67" t="s">
        <v>1784</v>
      </c>
    </row>
    <row r="1353" spans="1:4" x14ac:dyDescent="0.25">
      <c r="A1353" s="91" t="s">
        <v>2853</v>
      </c>
      <c r="B1353" s="67" t="s">
        <v>1252</v>
      </c>
      <c r="C1353" s="74">
        <f>1351.35*0.8*0.95</f>
        <v>1027.0259999999998</v>
      </c>
      <c r="D1353" s="67" t="s">
        <v>1784</v>
      </c>
    </row>
    <row r="1354" spans="1:4" x14ac:dyDescent="0.25">
      <c r="A1354" s="91" t="s">
        <v>2860</v>
      </c>
      <c r="B1354" s="67" t="s">
        <v>1253</v>
      </c>
      <c r="C1354" s="74">
        <f>4336.15*0.8*0.95</f>
        <v>3295.4739999999997</v>
      </c>
      <c r="D1354" s="67" t="s">
        <v>1784</v>
      </c>
    </row>
    <row r="1355" spans="1:4" x14ac:dyDescent="0.25">
      <c r="A1355" s="91" t="s">
        <v>2859</v>
      </c>
      <c r="B1355" s="67" t="s">
        <v>1254</v>
      </c>
      <c r="C1355" s="74">
        <f>3913*0.8*0.95</f>
        <v>2973.88</v>
      </c>
      <c r="D1355" s="67" t="s">
        <v>1784</v>
      </c>
    </row>
    <row r="1356" spans="1:4" ht="15.75" x14ac:dyDescent="0.25">
      <c r="A1356" s="94" t="s">
        <v>2409</v>
      </c>
      <c r="B1356" s="67">
        <v>2607</v>
      </c>
      <c r="C1356" s="75">
        <v>795</v>
      </c>
      <c r="D1356" s="67" t="s">
        <v>1784</v>
      </c>
    </row>
    <row r="1357" spans="1:4" ht="15.75" x14ac:dyDescent="0.25">
      <c r="A1357" s="94" t="s">
        <v>2410</v>
      </c>
      <c r="B1357" s="67">
        <v>2672</v>
      </c>
      <c r="C1357" s="75">
        <v>1225</v>
      </c>
      <c r="D1357" s="67" t="s">
        <v>1784</v>
      </c>
    </row>
    <row r="1358" spans="1:4" x14ac:dyDescent="0.25">
      <c r="A1358" s="91" t="s">
        <v>2996</v>
      </c>
      <c r="B1358" s="67" t="s">
        <v>1255</v>
      </c>
      <c r="C1358" s="74">
        <f>555.1*0.8*0.95</f>
        <v>421.87600000000003</v>
      </c>
      <c r="D1358" s="67" t="s">
        <v>1784</v>
      </c>
    </row>
    <row r="1359" spans="1:4" x14ac:dyDescent="0.25">
      <c r="A1359" s="92" t="s">
        <v>2995</v>
      </c>
      <c r="B1359" s="67" t="s">
        <v>1256</v>
      </c>
      <c r="C1359" s="74">
        <f>555.1*0.8*0.95</f>
        <v>421.87600000000003</v>
      </c>
      <c r="D1359" s="67" t="s">
        <v>1784</v>
      </c>
    </row>
    <row r="1360" spans="1:4" x14ac:dyDescent="0.25">
      <c r="A1360" s="92" t="s">
        <v>3016</v>
      </c>
      <c r="B1360" s="67" t="s">
        <v>1257</v>
      </c>
      <c r="C1360" s="74">
        <f>1365*0.8*0.95</f>
        <v>1037.3999999999999</v>
      </c>
      <c r="D1360" s="67" t="s">
        <v>1784</v>
      </c>
    </row>
    <row r="1361" spans="1:4" x14ac:dyDescent="0.25">
      <c r="A1361" s="92" t="s">
        <v>2994</v>
      </c>
      <c r="B1361" s="67" t="s">
        <v>1258</v>
      </c>
      <c r="C1361" s="74">
        <f>192.42*0.8*0.95</f>
        <v>146.23920000000001</v>
      </c>
      <c r="D1361" s="67" t="s">
        <v>1785</v>
      </c>
    </row>
    <row r="1362" spans="1:4" ht="15.75" x14ac:dyDescent="0.25">
      <c r="A1362" s="94" t="s">
        <v>2482</v>
      </c>
      <c r="B1362" s="67">
        <v>5236</v>
      </c>
      <c r="C1362" s="75">
        <v>3690</v>
      </c>
      <c r="D1362" s="67" t="s">
        <v>1784</v>
      </c>
    </row>
    <row r="1363" spans="1:4" ht="15.75" x14ac:dyDescent="0.25">
      <c r="A1363" s="94" t="s">
        <v>1960</v>
      </c>
      <c r="B1363" s="67">
        <v>2762</v>
      </c>
      <c r="C1363" s="75">
        <v>2815</v>
      </c>
      <c r="D1363" s="67" t="s">
        <v>1784</v>
      </c>
    </row>
    <row r="1364" spans="1:4" ht="15.75" x14ac:dyDescent="0.25">
      <c r="A1364" s="94" t="s">
        <v>2052</v>
      </c>
      <c r="B1364" s="67">
        <v>2948</v>
      </c>
      <c r="C1364" s="75">
        <v>13060</v>
      </c>
      <c r="D1364" s="67" t="s">
        <v>1784</v>
      </c>
    </row>
    <row r="1365" spans="1:4" ht="15.75" x14ac:dyDescent="0.25">
      <c r="A1365" s="94" t="s">
        <v>2423</v>
      </c>
      <c r="B1365" s="67">
        <v>2902</v>
      </c>
      <c r="C1365" s="75">
        <v>3185</v>
      </c>
      <c r="D1365" s="67" t="s">
        <v>1784</v>
      </c>
    </row>
    <row r="1366" spans="1:4" ht="15.75" x14ac:dyDescent="0.25">
      <c r="A1366" s="94" t="s">
        <v>2053</v>
      </c>
      <c r="B1366" s="67">
        <v>2993</v>
      </c>
      <c r="C1366" s="75">
        <v>4698</v>
      </c>
      <c r="D1366" s="67" t="s">
        <v>1784</v>
      </c>
    </row>
    <row r="1367" spans="1:4" ht="15.75" x14ac:dyDescent="0.25">
      <c r="A1367" s="94" t="s">
        <v>2150</v>
      </c>
      <c r="B1367" s="67">
        <v>1382</v>
      </c>
      <c r="C1367" s="75">
        <v>8800</v>
      </c>
      <c r="D1367" s="67" t="s">
        <v>1784</v>
      </c>
    </row>
    <row r="1368" spans="1:4" ht="15.75" x14ac:dyDescent="0.25">
      <c r="A1368" s="94" t="s">
        <v>2151</v>
      </c>
      <c r="B1368" s="67">
        <v>1475</v>
      </c>
      <c r="C1368" s="75">
        <v>14868</v>
      </c>
      <c r="D1368" s="67" t="s">
        <v>1784</v>
      </c>
    </row>
    <row r="1369" spans="1:4" ht="15.75" x14ac:dyDescent="0.25">
      <c r="A1369" s="94" t="s">
        <v>2152</v>
      </c>
      <c r="B1369" s="67">
        <v>3950</v>
      </c>
      <c r="C1369" s="75">
        <v>1773</v>
      </c>
      <c r="D1369" s="67" t="s">
        <v>1784</v>
      </c>
    </row>
    <row r="1370" spans="1:4" ht="15.75" x14ac:dyDescent="0.25">
      <c r="A1370" s="94" t="s">
        <v>2153</v>
      </c>
      <c r="B1370" s="67">
        <v>1369</v>
      </c>
      <c r="C1370" s="75">
        <v>3394</v>
      </c>
      <c r="D1370" s="67" t="s">
        <v>1784</v>
      </c>
    </row>
    <row r="1371" spans="1:4" ht="15.75" x14ac:dyDescent="0.25">
      <c r="A1371" s="94" t="s">
        <v>2154</v>
      </c>
      <c r="B1371" s="67">
        <v>1517</v>
      </c>
      <c r="C1371" s="75">
        <v>5100</v>
      </c>
      <c r="D1371" s="67" t="s">
        <v>1784</v>
      </c>
    </row>
    <row r="1372" spans="1:4" x14ac:dyDescent="0.25">
      <c r="A1372" s="92" t="s">
        <v>2758</v>
      </c>
      <c r="B1372" s="67" t="s">
        <v>1259</v>
      </c>
      <c r="C1372" s="74">
        <f>440.9*0.8*0.95</f>
        <v>335.084</v>
      </c>
      <c r="D1372" s="67" t="s">
        <v>1784</v>
      </c>
    </row>
    <row r="1373" spans="1:4" x14ac:dyDescent="0.25">
      <c r="A1373" s="92" t="s">
        <v>2759</v>
      </c>
      <c r="B1373" s="67" t="s">
        <v>1260</v>
      </c>
      <c r="C1373" s="74">
        <f>440.9*0.8*0.95</f>
        <v>335.084</v>
      </c>
      <c r="D1373" s="67" t="s">
        <v>1784</v>
      </c>
    </row>
    <row r="1374" spans="1:4" x14ac:dyDescent="0.25">
      <c r="A1374" s="91" t="s">
        <v>3051</v>
      </c>
      <c r="B1374" s="67" t="s">
        <v>1261</v>
      </c>
      <c r="C1374" s="74">
        <f>1411.44*0.8*0.95</f>
        <v>1072.6944000000001</v>
      </c>
      <c r="D1374" s="67" t="s">
        <v>1784</v>
      </c>
    </row>
    <row r="1375" spans="1:4" x14ac:dyDescent="0.25">
      <c r="A1375" s="91" t="s">
        <v>2898</v>
      </c>
      <c r="B1375" s="67" t="s">
        <v>1262</v>
      </c>
      <c r="C1375" s="74">
        <f>34.68*0.8*0.95</f>
        <v>26.3568</v>
      </c>
      <c r="D1375" s="67" t="s">
        <v>1785</v>
      </c>
    </row>
    <row r="1376" spans="1:4" x14ac:dyDescent="0.25">
      <c r="A1376" s="91" t="s">
        <v>2913</v>
      </c>
      <c r="B1376" s="67" t="s">
        <v>1263</v>
      </c>
      <c r="C1376" s="74">
        <f>350.35*0.8*0.95</f>
        <v>266.26600000000002</v>
      </c>
      <c r="D1376" s="67" t="s">
        <v>1784</v>
      </c>
    </row>
    <row r="1377" spans="1:4" x14ac:dyDescent="0.25">
      <c r="A1377" s="91" t="s">
        <v>2911</v>
      </c>
      <c r="B1377" s="67" t="s">
        <v>1264</v>
      </c>
      <c r="C1377" s="74">
        <f>335.3*0.8*0.95</f>
        <v>254.828</v>
      </c>
      <c r="D1377" s="67" t="s">
        <v>1784</v>
      </c>
    </row>
    <row r="1378" spans="1:4" x14ac:dyDescent="0.25">
      <c r="A1378" s="91" t="s">
        <v>2912</v>
      </c>
      <c r="B1378" s="67" t="s">
        <v>1265</v>
      </c>
      <c r="C1378" s="74">
        <f>320.25*0.8*0.95</f>
        <v>243.39</v>
      </c>
      <c r="D1378" s="67" t="s">
        <v>1784</v>
      </c>
    </row>
    <row r="1379" spans="1:4" x14ac:dyDescent="0.25">
      <c r="A1379" s="92" t="s">
        <v>3057</v>
      </c>
      <c r="B1379" s="67" t="s">
        <v>1266</v>
      </c>
      <c r="C1379" s="74">
        <f>570.57*0.8*0.95</f>
        <v>433.63320000000004</v>
      </c>
      <c r="D1379" s="67" t="s">
        <v>1784</v>
      </c>
    </row>
    <row r="1380" spans="1:4" x14ac:dyDescent="0.25">
      <c r="A1380" s="92" t="s">
        <v>3058</v>
      </c>
      <c r="B1380" s="67" t="s">
        <v>1267</v>
      </c>
      <c r="C1380" s="74">
        <f>700.25*0.8*0.95</f>
        <v>532.19000000000005</v>
      </c>
      <c r="D1380" s="67" t="s">
        <v>1784</v>
      </c>
    </row>
    <row r="1381" spans="1:4" x14ac:dyDescent="0.25">
      <c r="A1381" s="92" t="s">
        <v>3060</v>
      </c>
      <c r="B1381" s="67" t="s">
        <v>1268</v>
      </c>
      <c r="C1381" s="74">
        <f>700.25*0.8*0.95</f>
        <v>532.19000000000005</v>
      </c>
      <c r="D1381" s="67" t="s">
        <v>1784</v>
      </c>
    </row>
    <row r="1382" spans="1:4" x14ac:dyDescent="0.25">
      <c r="A1382" s="91" t="s">
        <v>3177</v>
      </c>
      <c r="B1382" s="67" t="s">
        <v>1269</v>
      </c>
      <c r="C1382" s="74">
        <f>1355.9*0.8*0.95</f>
        <v>1030.4839999999999</v>
      </c>
      <c r="D1382" s="67" t="s">
        <v>1784</v>
      </c>
    </row>
    <row r="1383" spans="1:4" x14ac:dyDescent="0.25">
      <c r="A1383" s="91" t="s">
        <v>3066</v>
      </c>
      <c r="B1383" s="67" t="s">
        <v>1270</v>
      </c>
      <c r="C1383" s="74">
        <f>779.19*0.8*0.95</f>
        <v>592.1844000000001</v>
      </c>
      <c r="D1383" s="67" t="s">
        <v>1784</v>
      </c>
    </row>
    <row r="1384" spans="1:4" x14ac:dyDescent="0.25">
      <c r="A1384" s="91" t="s">
        <v>3064</v>
      </c>
      <c r="B1384" s="67" t="s">
        <v>1271</v>
      </c>
      <c r="C1384" s="74">
        <f>889.13*0.8*0.95</f>
        <v>675.73880000000008</v>
      </c>
      <c r="D1384" s="67" t="s">
        <v>1784</v>
      </c>
    </row>
    <row r="1385" spans="1:4" x14ac:dyDescent="0.25">
      <c r="A1385" s="92" t="s">
        <v>2748</v>
      </c>
      <c r="B1385" s="67" t="s">
        <v>1272</v>
      </c>
      <c r="C1385" s="74">
        <f>1319.99*0.8*0.95</f>
        <v>1003.1923999999999</v>
      </c>
      <c r="D1385" s="67" t="s">
        <v>1784</v>
      </c>
    </row>
    <row r="1386" spans="1:4" x14ac:dyDescent="0.25">
      <c r="A1386" s="92" t="s">
        <v>2749</v>
      </c>
      <c r="B1386" s="67" t="s">
        <v>1273</v>
      </c>
      <c r="C1386" s="74">
        <f>1397.7*0.8*0.95</f>
        <v>1062.252</v>
      </c>
      <c r="D1386" s="67" t="s">
        <v>1784</v>
      </c>
    </row>
    <row r="1387" spans="1:4" x14ac:dyDescent="0.25">
      <c r="A1387" s="91" t="s">
        <v>3068</v>
      </c>
      <c r="B1387" s="67" t="s">
        <v>1274</v>
      </c>
      <c r="C1387" s="74">
        <f>250.71*0.8*0.95</f>
        <v>190.53960000000001</v>
      </c>
      <c r="D1387" s="67" t="s">
        <v>1784</v>
      </c>
    </row>
    <row r="1388" spans="1:4" x14ac:dyDescent="0.25">
      <c r="A1388" s="91" t="s">
        <v>2882</v>
      </c>
      <c r="B1388" s="67" t="s">
        <v>1275</v>
      </c>
      <c r="C1388" s="74">
        <f>1274*0.8*0.95</f>
        <v>968.24</v>
      </c>
      <c r="D1388" s="67" t="s">
        <v>1784</v>
      </c>
    </row>
    <row r="1389" spans="1:4" x14ac:dyDescent="0.25">
      <c r="A1389" s="91" t="s">
        <v>1060</v>
      </c>
      <c r="B1389" s="67" t="s">
        <v>1276</v>
      </c>
      <c r="C1389" s="74">
        <v>0.01</v>
      </c>
      <c r="D1389" s="67" t="s">
        <v>1784</v>
      </c>
    </row>
    <row r="1390" spans="1:4" x14ac:dyDescent="0.25">
      <c r="A1390" s="91" t="s">
        <v>2874</v>
      </c>
      <c r="B1390" s="67" t="s">
        <v>1277</v>
      </c>
      <c r="C1390" s="74">
        <f>1133.03*0.8*0.95</f>
        <v>861.10279999999989</v>
      </c>
      <c r="D1390" s="67" t="s">
        <v>1785</v>
      </c>
    </row>
    <row r="1391" spans="1:4" x14ac:dyDescent="0.25">
      <c r="A1391" s="91" t="s">
        <v>2871</v>
      </c>
      <c r="B1391" s="67" t="s">
        <v>1278</v>
      </c>
      <c r="C1391" s="74">
        <f>95.75*0.8*0.95</f>
        <v>72.77000000000001</v>
      </c>
      <c r="D1391" s="67" t="s">
        <v>1785</v>
      </c>
    </row>
    <row r="1392" spans="1:4" x14ac:dyDescent="0.25">
      <c r="A1392" s="91" t="s">
        <v>2872</v>
      </c>
      <c r="B1392" s="67" t="s">
        <v>1279</v>
      </c>
      <c r="C1392" s="74">
        <f>169.06*0.8*0.95</f>
        <v>128.48560000000001</v>
      </c>
      <c r="D1392" s="67" t="s">
        <v>1785</v>
      </c>
    </row>
    <row r="1393" spans="1:4" x14ac:dyDescent="0.25">
      <c r="A1393" s="91" t="s">
        <v>2873</v>
      </c>
      <c r="B1393" s="67" t="s">
        <v>1280</v>
      </c>
      <c r="C1393" s="74">
        <f>253.02*0.8*0.95</f>
        <v>192.29520000000002</v>
      </c>
      <c r="D1393" s="67" t="s">
        <v>1785</v>
      </c>
    </row>
    <row r="1394" spans="1:4" x14ac:dyDescent="0.25">
      <c r="A1394" s="91" t="s">
        <v>2876</v>
      </c>
      <c r="B1394" s="67" t="s">
        <v>1281</v>
      </c>
      <c r="C1394" s="74">
        <f>188.2*0.8*0.95</f>
        <v>143.03199999999998</v>
      </c>
      <c r="D1394" s="67" t="s">
        <v>1785</v>
      </c>
    </row>
    <row r="1395" spans="1:4" x14ac:dyDescent="0.25">
      <c r="A1395" s="91" t="s">
        <v>2877</v>
      </c>
      <c r="B1395" s="67" t="s">
        <v>1282</v>
      </c>
      <c r="C1395" s="74">
        <f>905.74*0.8*0.95</f>
        <v>688.36240000000009</v>
      </c>
      <c r="D1395" s="67" t="s">
        <v>1785</v>
      </c>
    </row>
    <row r="1396" spans="1:4" x14ac:dyDescent="0.25">
      <c r="A1396" s="91" t="s">
        <v>2875</v>
      </c>
      <c r="B1396" s="67" t="s">
        <v>1283</v>
      </c>
      <c r="C1396" s="74">
        <f>145.74*0.8*0.95</f>
        <v>110.76240000000001</v>
      </c>
      <c r="D1396" s="67" t="s">
        <v>1785</v>
      </c>
    </row>
    <row r="1397" spans="1:4" x14ac:dyDescent="0.25">
      <c r="A1397" s="91" t="s">
        <v>2878</v>
      </c>
      <c r="B1397" s="67" t="s">
        <v>1284</v>
      </c>
      <c r="C1397" s="74">
        <f>648.38*0.8*0.95</f>
        <v>492.76880000000006</v>
      </c>
      <c r="D1397" s="67" t="s">
        <v>1784</v>
      </c>
    </row>
    <row r="1398" spans="1:4" x14ac:dyDescent="0.25">
      <c r="A1398" s="91" t="s">
        <v>2879</v>
      </c>
      <c r="B1398" s="67" t="s">
        <v>1285</v>
      </c>
      <c r="C1398" s="74">
        <f>691.6*0.8*0.95</f>
        <v>525.6160000000001</v>
      </c>
      <c r="D1398" s="67" t="s">
        <v>1784</v>
      </c>
    </row>
    <row r="1399" spans="1:4" x14ac:dyDescent="0.25">
      <c r="A1399" s="91" t="s">
        <v>2880</v>
      </c>
      <c r="B1399" s="67" t="s">
        <v>1286</v>
      </c>
      <c r="C1399" s="74">
        <f>1121.25*0.8*0.95</f>
        <v>852.15</v>
      </c>
      <c r="D1399" s="67" t="s">
        <v>1784</v>
      </c>
    </row>
    <row r="1400" spans="1:4" x14ac:dyDescent="0.25">
      <c r="A1400" s="91" t="s">
        <v>2881</v>
      </c>
      <c r="B1400" s="67" t="s">
        <v>1287</v>
      </c>
      <c r="C1400" s="74">
        <f>1170*0.8*0.95</f>
        <v>889.19999999999993</v>
      </c>
      <c r="D1400" s="67" t="s">
        <v>1784</v>
      </c>
    </row>
    <row r="1401" spans="1:4" ht="15.75" x14ac:dyDescent="0.25">
      <c r="A1401" s="94" t="s">
        <v>3345</v>
      </c>
      <c r="B1401" s="67" t="s">
        <v>1912</v>
      </c>
      <c r="C1401" s="75">
        <v>220</v>
      </c>
      <c r="D1401" s="67" t="s">
        <v>1784</v>
      </c>
    </row>
    <row r="1402" spans="1:4" ht="15.75" x14ac:dyDescent="0.25">
      <c r="A1402" s="94" t="s">
        <v>3344</v>
      </c>
      <c r="B1402" s="67" t="s">
        <v>1911</v>
      </c>
      <c r="C1402" s="75">
        <v>205</v>
      </c>
      <c r="D1402" s="67" t="s">
        <v>1784</v>
      </c>
    </row>
    <row r="1403" spans="1:4" ht="15.75" x14ac:dyDescent="0.25">
      <c r="A1403" s="94" t="s">
        <v>3342</v>
      </c>
      <c r="B1403" s="67" t="s">
        <v>1909</v>
      </c>
      <c r="C1403" s="75">
        <v>102.5</v>
      </c>
      <c r="D1403" s="67" t="s">
        <v>1784</v>
      </c>
    </row>
    <row r="1404" spans="1:4" ht="15.75" x14ac:dyDescent="0.25">
      <c r="A1404" s="94" t="s">
        <v>3343</v>
      </c>
      <c r="B1404" s="67" t="s">
        <v>1910</v>
      </c>
      <c r="C1404" s="75">
        <v>154</v>
      </c>
      <c r="D1404" s="67" t="s">
        <v>1784</v>
      </c>
    </row>
    <row r="1405" spans="1:4" ht="15.75" x14ac:dyDescent="0.25">
      <c r="A1405" s="94" t="s">
        <v>3340</v>
      </c>
      <c r="B1405" s="67" t="s">
        <v>1907</v>
      </c>
      <c r="C1405" s="75">
        <v>166</v>
      </c>
      <c r="D1405" s="67" t="s">
        <v>1784</v>
      </c>
    </row>
    <row r="1406" spans="1:4" ht="15.75" x14ac:dyDescent="0.25">
      <c r="A1406" s="94" t="s">
        <v>3338</v>
      </c>
      <c r="B1406" s="67" t="s">
        <v>1905</v>
      </c>
      <c r="C1406" s="75">
        <v>83</v>
      </c>
      <c r="D1406" s="67" t="s">
        <v>1784</v>
      </c>
    </row>
    <row r="1407" spans="1:4" ht="15.75" x14ac:dyDescent="0.25">
      <c r="A1407" s="94" t="s">
        <v>3341</v>
      </c>
      <c r="B1407" s="67" t="s">
        <v>1908</v>
      </c>
      <c r="C1407" s="75">
        <v>262</v>
      </c>
      <c r="D1407" s="67" t="s">
        <v>1784</v>
      </c>
    </row>
    <row r="1408" spans="1:4" ht="15.75" x14ac:dyDescent="0.25">
      <c r="A1408" s="94" t="s">
        <v>3339</v>
      </c>
      <c r="B1408" s="67" t="s">
        <v>1906</v>
      </c>
      <c r="C1408" s="75">
        <v>125</v>
      </c>
      <c r="D1408" s="67" t="s">
        <v>1784</v>
      </c>
    </row>
    <row r="1409" spans="1:4" ht="15.75" x14ac:dyDescent="0.25">
      <c r="A1409" s="94" t="s">
        <v>3346</v>
      </c>
      <c r="B1409" s="67" t="s">
        <v>1913</v>
      </c>
      <c r="C1409" s="75">
        <v>160</v>
      </c>
      <c r="D1409" s="67" t="s">
        <v>1784</v>
      </c>
    </row>
    <row r="1410" spans="1:4" ht="15.75" x14ac:dyDescent="0.25">
      <c r="A1410" s="94" t="s">
        <v>2155</v>
      </c>
      <c r="B1410" s="67">
        <v>1562</v>
      </c>
      <c r="C1410" s="75">
        <v>6748</v>
      </c>
      <c r="D1410" s="67" t="s">
        <v>1784</v>
      </c>
    </row>
    <row r="1411" spans="1:4" ht="15.75" x14ac:dyDescent="0.25">
      <c r="A1411" s="94" t="s">
        <v>2156</v>
      </c>
      <c r="B1411" s="67">
        <v>1650</v>
      </c>
      <c r="C1411" s="75">
        <v>7774</v>
      </c>
      <c r="D1411" s="67" t="s">
        <v>1784</v>
      </c>
    </row>
    <row r="1412" spans="1:4" ht="15.75" x14ac:dyDescent="0.25">
      <c r="A1412" s="94" t="s">
        <v>2424</v>
      </c>
      <c r="B1412" s="67">
        <v>2424</v>
      </c>
      <c r="C1412" s="75">
        <v>1850</v>
      </c>
      <c r="D1412" s="67" t="s">
        <v>1784</v>
      </c>
    </row>
    <row r="1413" spans="1:4" ht="15.75" x14ac:dyDescent="0.25">
      <c r="A1413" s="94" t="s">
        <v>2054</v>
      </c>
      <c r="B1413" s="67">
        <v>5397</v>
      </c>
      <c r="C1413" s="75">
        <v>6727</v>
      </c>
      <c r="D1413" s="67" t="s">
        <v>1784</v>
      </c>
    </row>
    <row r="1414" spans="1:4" ht="15.75" x14ac:dyDescent="0.25">
      <c r="A1414" s="94" t="s">
        <v>2157</v>
      </c>
      <c r="B1414" s="67">
        <v>3148</v>
      </c>
      <c r="C1414" s="75">
        <v>5821</v>
      </c>
      <c r="D1414" s="67" t="s">
        <v>1784</v>
      </c>
    </row>
    <row r="1415" spans="1:4" ht="15.75" x14ac:dyDescent="0.25">
      <c r="A1415" s="94" t="s">
        <v>2158</v>
      </c>
      <c r="B1415" s="67">
        <v>2221</v>
      </c>
      <c r="C1415" s="75">
        <v>1763</v>
      </c>
      <c r="D1415" s="67" t="s">
        <v>1784</v>
      </c>
    </row>
    <row r="1416" spans="1:4" x14ac:dyDescent="0.25">
      <c r="A1416" s="91" t="s">
        <v>2662</v>
      </c>
      <c r="B1416" s="67" t="s">
        <v>1288</v>
      </c>
      <c r="C1416" s="74">
        <f>275.69*0.8*0.95</f>
        <v>209.52440000000001</v>
      </c>
      <c r="D1416" s="67" t="s">
        <v>1784</v>
      </c>
    </row>
    <row r="1417" spans="1:4" x14ac:dyDescent="0.25">
      <c r="A1417" s="91" t="s">
        <v>2663</v>
      </c>
      <c r="B1417" s="67" t="s">
        <v>1289</v>
      </c>
      <c r="C1417" s="74">
        <f>278.86*0.8*0.95</f>
        <v>211.93360000000001</v>
      </c>
      <c r="D1417" s="67" t="s">
        <v>1784</v>
      </c>
    </row>
    <row r="1418" spans="1:4" x14ac:dyDescent="0.25">
      <c r="A1418" s="91" t="s">
        <v>2665</v>
      </c>
      <c r="B1418" s="67" t="s">
        <v>1290</v>
      </c>
      <c r="C1418" s="74">
        <f>444.74*0.8*0.95</f>
        <v>338.00240000000002</v>
      </c>
      <c r="D1418" s="67" t="s">
        <v>1784</v>
      </c>
    </row>
    <row r="1419" spans="1:4" x14ac:dyDescent="0.25">
      <c r="A1419" s="91" t="s">
        <v>2664</v>
      </c>
      <c r="B1419" s="67" t="s">
        <v>1291</v>
      </c>
      <c r="C1419" s="74">
        <f>440.85*0.8*0.95</f>
        <v>335.04600000000005</v>
      </c>
      <c r="D1419" s="67" t="s">
        <v>1784</v>
      </c>
    </row>
    <row r="1420" spans="1:4" x14ac:dyDescent="0.25">
      <c r="A1420" s="91" t="s">
        <v>2658</v>
      </c>
      <c r="B1420" s="67" t="s">
        <v>1292</v>
      </c>
      <c r="C1420" s="74">
        <f>589.9*0.8*0.95</f>
        <v>448.32400000000001</v>
      </c>
      <c r="D1420" s="67" t="s">
        <v>1784</v>
      </c>
    </row>
    <row r="1421" spans="1:4" x14ac:dyDescent="0.25">
      <c r="A1421" s="91" t="s">
        <v>2659</v>
      </c>
      <c r="B1421" s="67" t="s">
        <v>1293</v>
      </c>
      <c r="C1421" s="74">
        <f>597.97*0.8*0.95</f>
        <v>454.4572</v>
      </c>
      <c r="D1421" s="67" t="s">
        <v>1784</v>
      </c>
    </row>
    <row r="1422" spans="1:4" x14ac:dyDescent="0.25">
      <c r="A1422" s="91" t="s">
        <v>2656</v>
      </c>
      <c r="B1422" s="67" t="s">
        <v>1294</v>
      </c>
      <c r="C1422" s="74">
        <f>211.55*0.8*0.95</f>
        <v>160.77799999999999</v>
      </c>
      <c r="D1422" s="67" t="s">
        <v>1784</v>
      </c>
    </row>
    <row r="1423" spans="1:4" x14ac:dyDescent="0.25">
      <c r="A1423" s="91" t="s">
        <v>2657</v>
      </c>
      <c r="B1423" s="67" t="s">
        <v>1295</v>
      </c>
      <c r="C1423" s="74">
        <f>211.81*0.8*0.95</f>
        <v>160.97559999999999</v>
      </c>
      <c r="D1423" s="67" t="s">
        <v>1784</v>
      </c>
    </row>
    <row r="1424" spans="1:4" x14ac:dyDescent="0.25">
      <c r="A1424" s="91" t="s">
        <v>2653</v>
      </c>
      <c r="B1424" s="67" t="s">
        <v>1296</v>
      </c>
      <c r="C1424" s="74">
        <f>200.14*0.8*0.95</f>
        <v>152.10639999999998</v>
      </c>
      <c r="D1424" s="67" t="s">
        <v>1784</v>
      </c>
    </row>
    <row r="1425" spans="1:4" x14ac:dyDescent="0.25">
      <c r="A1425" s="91" t="s">
        <v>2655</v>
      </c>
      <c r="B1425" s="67" t="s">
        <v>1297</v>
      </c>
      <c r="C1425" s="74">
        <f>191.09*0.8*0.95</f>
        <v>145.22839999999999</v>
      </c>
      <c r="D1425" s="67" t="s">
        <v>1784</v>
      </c>
    </row>
    <row r="1426" spans="1:4" x14ac:dyDescent="0.25">
      <c r="A1426" s="91" t="s">
        <v>2654</v>
      </c>
      <c r="B1426" s="67" t="s">
        <v>1298</v>
      </c>
      <c r="C1426" s="74">
        <f>200.4*0.8*0.95</f>
        <v>152.304</v>
      </c>
      <c r="D1426" s="67" t="s">
        <v>1784</v>
      </c>
    </row>
    <row r="1427" spans="1:4" x14ac:dyDescent="0.25">
      <c r="A1427" s="91" t="s">
        <v>2660</v>
      </c>
      <c r="B1427" s="67" t="s">
        <v>1299</v>
      </c>
      <c r="C1427" s="74">
        <f>422.54*0.8*0.95</f>
        <v>321.13040000000001</v>
      </c>
      <c r="D1427" s="67" t="s">
        <v>1784</v>
      </c>
    </row>
    <row r="1428" spans="1:4" x14ac:dyDescent="0.25">
      <c r="A1428" s="91" t="s">
        <v>2661</v>
      </c>
      <c r="B1428" s="67" t="s">
        <v>1300</v>
      </c>
      <c r="C1428" s="74">
        <f>451.5*0.8*0.95</f>
        <v>343.14000000000004</v>
      </c>
      <c r="D1428" s="67" t="s">
        <v>1784</v>
      </c>
    </row>
    <row r="1429" spans="1:4" x14ac:dyDescent="0.25">
      <c r="A1429" s="92" t="s">
        <v>2673</v>
      </c>
      <c r="B1429" s="67" t="s">
        <v>1301</v>
      </c>
      <c r="C1429" s="74">
        <f>148.63*0.8*0.95</f>
        <v>112.9588</v>
      </c>
      <c r="D1429" s="67" t="s">
        <v>1784</v>
      </c>
    </row>
    <row r="1430" spans="1:4" x14ac:dyDescent="0.25">
      <c r="A1430" s="92" t="s">
        <v>2674</v>
      </c>
      <c r="B1430" s="67" t="s">
        <v>1302</v>
      </c>
      <c r="C1430" s="74">
        <f>130.67*0.8*0.95</f>
        <v>99.30919999999999</v>
      </c>
      <c r="D1430" s="67" t="s">
        <v>1784</v>
      </c>
    </row>
    <row r="1431" spans="1:4" x14ac:dyDescent="0.25">
      <c r="A1431" s="91" t="s">
        <v>2677</v>
      </c>
      <c r="B1431" s="67" t="s">
        <v>1303</v>
      </c>
      <c r="C1431" s="74">
        <f>147.3*0.8*0.95</f>
        <v>111.94800000000001</v>
      </c>
      <c r="D1431" s="67" t="s">
        <v>1784</v>
      </c>
    </row>
    <row r="1432" spans="1:4" x14ac:dyDescent="0.25">
      <c r="A1432" s="91" t="s">
        <v>2678</v>
      </c>
      <c r="B1432" s="67" t="s">
        <v>1304</v>
      </c>
      <c r="C1432" s="74">
        <f>129.68*0.8*0.95</f>
        <v>98.55680000000001</v>
      </c>
      <c r="D1432" s="67" t="s">
        <v>1784</v>
      </c>
    </row>
    <row r="1433" spans="1:4" x14ac:dyDescent="0.25">
      <c r="A1433" s="92" t="s">
        <v>2676</v>
      </c>
      <c r="B1433" s="67" t="s">
        <v>1305</v>
      </c>
      <c r="C1433" s="74">
        <f>106.07*0.8*0.95</f>
        <v>80.613199999999992</v>
      </c>
      <c r="D1433" s="67" t="s">
        <v>1784</v>
      </c>
    </row>
    <row r="1434" spans="1:4" x14ac:dyDescent="0.25">
      <c r="A1434" s="92" t="s">
        <v>2675</v>
      </c>
      <c r="B1434" s="67" t="s">
        <v>1306</v>
      </c>
      <c r="C1434" s="74">
        <f>116.71*0.8*0.95</f>
        <v>88.69959999999999</v>
      </c>
      <c r="D1434" s="67" t="s">
        <v>1784</v>
      </c>
    </row>
    <row r="1435" spans="1:4" x14ac:dyDescent="0.25">
      <c r="A1435" s="92" t="s">
        <v>2671</v>
      </c>
      <c r="B1435" s="67" t="s">
        <v>1307</v>
      </c>
      <c r="C1435" s="74">
        <f>138.32*0.8*0.95</f>
        <v>105.1232</v>
      </c>
      <c r="D1435" s="67" t="s">
        <v>1784</v>
      </c>
    </row>
    <row r="1436" spans="1:4" x14ac:dyDescent="0.25">
      <c r="A1436" s="92" t="s">
        <v>2672</v>
      </c>
      <c r="B1436" s="67" t="s">
        <v>1308</v>
      </c>
      <c r="C1436" s="74">
        <f>134*0.8*0.95</f>
        <v>101.84</v>
      </c>
      <c r="D1436" s="67" t="s">
        <v>1784</v>
      </c>
    </row>
    <row r="1437" spans="1:4" x14ac:dyDescent="0.25">
      <c r="A1437" s="91" t="s">
        <v>2669</v>
      </c>
      <c r="B1437" s="67" t="s">
        <v>1309</v>
      </c>
      <c r="C1437" s="74">
        <f>89.11*0.8*0.95</f>
        <v>67.72359999999999</v>
      </c>
      <c r="D1437" s="67" t="s">
        <v>1784</v>
      </c>
    </row>
    <row r="1438" spans="1:4" x14ac:dyDescent="0.25">
      <c r="A1438" s="91" t="s">
        <v>2670</v>
      </c>
      <c r="B1438" s="67" t="s">
        <v>1310</v>
      </c>
      <c r="C1438" s="74">
        <f>86.78*0.8*0.95</f>
        <v>65.952799999999996</v>
      </c>
      <c r="D1438" s="67" t="s">
        <v>1784</v>
      </c>
    </row>
    <row r="1439" spans="1:4" x14ac:dyDescent="0.25">
      <c r="A1439" s="92" t="s">
        <v>2667</v>
      </c>
      <c r="B1439" s="67" t="s">
        <v>1311</v>
      </c>
      <c r="C1439" s="74">
        <f>73.48*0.8*0.95</f>
        <v>55.844800000000006</v>
      </c>
      <c r="D1439" s="67" t="s">
        <v>1784</v>
      </c>
    </row>
    <row r="1440" spans="1:4" x14ac:dyDescent="0.25">
      <c r="A1440" s="92" t="s">
        <v>2666</v>
      </c>
      <c r="B1440" s="67" t="s">
        <v>1312</v>
      </c>
      <c r="C1440" s="74">
        <f>86.45*0.8*0.95</f>
        <v>65.702000000000012</v>
      </c>
      <c r="D1440" s="67" t="s">
        <v>1784</v>
      </c>
    </row>
    <row r="1441" spans="1:4" x14ac:dyDescent="0.25">
      <c r="A1441" s="92" t="s">
        <v>2668</v>
      </c>
      <c r="B1441" s="67" t="s">
        <v>1313</v>
      </c>
      <c r="C1441" s="74">
        <f>90.77*0.8*0.95</f>
        <v>68.985199999999992</v>
      </c>
      <c r="D1441" s="67" t="s">
        <v>1784</v>
      </c>
    </row>
    <row r="1442" spans="1:4" x14ac:dyDescent="0.25">
      <c r="A1442" s="92" t="s">
        <v>2683</v>
      </c>
      <c r="B1442" s="67" t="s">
        <v>1314</v>
      </c>
      <c r="C1442" s="74">
        <f>51.45*0.8*0.95</f>
        <v>39.102000000000004</v>
      </c>
      <c r="D1442" s="67" t="s">
        <v>1784</v>
      </c>
    </row>
    <row r="1443" spans="1:4" x14ac:dyDescent="0.25">
      <c r="A1443" s="92" t="s">
        <v>2684</v>
      </c>
      <c r="B1443" s="67" t="s">
        <v>1315</v>
      </c>
      <c r="C1443" s="74">
        <f>47.6*0.8*0.95</f>
        <v>36.176000000000002</v>
      </c>
      <c r="D1443" s="67" t="s">
        <v>1784</v>
      </c>
    </row>
    <row r="1444" spans="1:4" x14ac:dyDescent="0.25">
      <c r="A1444" s="91" t="s">
        <v>2685</v>
      </c>
      <c r="B1444" s="67" t="s">
        <v>1316</v>
      </c>
      <c r="C1444" s="74">
        <f>51.45*0.8*0.95</f>
        <v>39.102000000000004</v>
      </c>
      <c r="D1444" s="67" t="s">
        <v>1784</v>
      </c>
    </row>
    <row r="1445" spans="1:4" x14ac:dyDescent="0.25">
      <c r="A1445" s="91" t="s">
        <v>2686</v>
      </c>
      <c r="B1445" s="67" t="s">
        <v>1317</v>
      </c>
      <c r="C1445" s="74">
        <f>47.6*0.8*0.95</f>
        <v>36.176000000000002</v>
      </c>
      <c r="D1445" s="67" t="s">
        <v>1784</v>
      </c>
    </row>
    <row r="1446" spans="1:4" x14ac:dyDescent="0.25">
      <c r="A1446" s="92" t="s">
        <v>2681</v>
      </c>
      <c r="B1446" s="67" t="s">
        <v>1318</v>
      </c>
      <c r="C1446" s="74">
        <f>54.25*0.8*0.95</f>
        <v>41.230000000000004</v>
      </c>
      <c r="D1446" s="67" t="s">
        <v>1784</v>
      </c>
    </row>
    <row r="1447" spans="1:4" x14ac:dyDescent="0.25">
      <c r="A1447" s="92" t="s">
        <v>2682</v>
      </c>
      <c r="B1447" s="67" t="s">
        <v>1319</v>
      </c>
      <c r="C1447" s="74">
        <f>46.2*0.8*0.95</f>
        <v>35.112000000000002</v>
      </c>
      <c r="D1447" s="67" t="s">
        <v>1784</v>
      </c>
    </row>
    <row r="1448" spans="1:4" x14ac:dyDescent="0.25">
      <c r="A1448" s="92" t="s">
        <v>2679</v>
      </c>
      <c r="B1448" s="67" t="s">
        <v>1320</v>
      </c>
      <c r="C1448" s="74">
        <f>36.4*0.8*0.95</f>
        <v>27.663999999999998</v>
      </c>
      <c r="D1448" s="67" t="s">
        <v>1784</v>
      </c>
    </row>
    <row r="1449" spans="1:4" x14ac:dyDescent="0.25">
      <c r="A1449" s="92" t="s">
        <v>2680</v>
      </c>
      <c r="B1449" s="67" t="s">
        <v>1321</v>
      </c>
      <c r="C1449" s="74">
        <f>32.59*0.8*0.95</f>
        <v>24.7684</v>
      </c>
      <c r="D1449" s="67" t="s">
        <v>1784</v>
      </c>
    </row>
    <row r="1450" spans="1:4" x14ac:dyDescent="0.25">
      <c r="A1450" s="92" t="s">
        <v>2691</v>
      </c>
      <c r="B1450" s="67" t="s">
        <v>1322</v>
      </c>
      <c r="C1450" s="74">
        <f>72.69*0.8*0.95</f>
        <v>55.244399999999999</v>
      </c>
      <c r="D1450" s="67" t="s">
        <v>1784</v>
      </c>
    </row>
    <row r="1451" spans="1:4" x14ac:dyDescent="0.25">
      <c r="A1451" s="92" t="s">
        <v>2692</v>
      </c>
      <c r="B1451" s="67" t="s">
        <v>1323</v>
      </c>
      <c r="C1451" s="74">
        <f>72.69*0.8*0.95</f>
        <v>55.244399999999999</v>
      </c>
      <c r="D1451" s="67" t="s">
        <v>1784</v>
      </c>
    </row>
    <row r="1452" spans="1:4" x14ac:dyDescent="0.25">
      <c r="A1452" s="91" t="s">
        <v>2693</v>
      </c>
      <c r="B1452" s="67" t="s">
        <v>1324</v>
      </c>
      <c r="C1452" s="74">
        <f>78.95*0.8*0.95</f>
        <v>60.002000000000002</v>
      </c>
      <c r="D1452" s="67" t="s">
        <v>1784</v>
      </c>
    </row>
    <row r="1453" spans="1:4" x14ac:dyDescent="0.25">
      <c r="A1453" s="91" t="s">
        <v>2694</v>
      </c>
      <c r="B1453" s="67" t="s">
        <v>1325</v>
      </c>
      <c r="C1453" s="74">
        <f>78.95*0.8*0.95</f>
        <v>60.002000000000002</v>
      </c>
      <c r="D1453" s="67" t="s">
        <v>1784</v>
      </c>
    </row>
    <row r="1454" spans="1:4" x14ac:dyDescent="0.25">
      <c r="A1454" s="92" t="s">
        <v>2689</v>
      </c>
      <c r="B1454" s="67" t="s">
        <v>1326</v>
      </c>
      <c r="C1454" s="74">
        <f>78.95*0.8*0.95</f>
        <v>60.002000000000002</v>
      </c>
      <c r="D1454" s="67" t="s">
        <v>1784</v>
      </c>
    </row>
    <row r="1455" spans="1:4" x14ac:dyDescent="0.25">
      <c r="A1455" s="92" t="s">
        <v>2690</v>
      </c>
      <c r="B1455" s="67" t="s">
        <v>1327</v>
      </c>
      <c r="C1455" s="74">
        <f>78.95*0.8*0.95</f>
        <v>60.002000000000002</v>
      </c>
      <c r="D1455" s="67" t="s">
        <v>1784</v>
      </c>
    </row>
    <row r="1456" spans="1:4" x14ac:dyDescent="0.25">
      <c r="A1456" s="92" t="s">
        <v>2687</v>
      </c>
      <c r="B1456" s="67" t="s">
        <v>1328</v>
      </c>
      <c r="C1456" s="74">
        <f>52.63*0.8*0.95</f>
        <v>39.998800000000003</v>
      </c>
      <c r="D1456" s="67" t="s">
        <v>1784</v>
      </c>
    </row>
    <row r="1457" spans="1:4" x14ac:dyDescent="0.25">
      <c r="A1457" s="92" t="s">
        <v>2688</v>
      </c>
      <c r="B1457" s="67" t="s">
        <v>1329</v>
      </c>
      <c r="C1457" s="74">
        <f>52.63*0.8*0.95</f>
        <v>39.998800000000003</v>
      </c>
      <c r="D1457" s="67" t="s">
        <v>1784</v>
      </c>
    </row>
    <row r="1458" spans="1:4" x14ac:dyDescent="0.25">
      <c r="A1458" s="92" t="s">
        <v>3161</v>
      </c>
      <c r="B1458" s="67" t="s">
        <v>1330</v>
      </c>
      <c r="C1458" s="74">
        <f>220.85*0.8*0.95</f>
        <v>167.846</v>
      </c>
      <c r="D1458" s="67" t="s">
        <v>1784</v>
      </c>
    </row>
    <row r="1459" spans="1:4" x14ac:dyDescent="0.25">
      <c r="A1459" s="92" t="s">
        <v>3160</v>
      </c>
      <c r="B1459" s="67" t="s">
        <v>1331</v>
      </c>
      <c r="C1459" s="74">
        <f>159.25*0.8*0.95</f>
        <v>121.03</v>
      </c>
      <c r="D1459" s="67" t="s">
        <v>1784</v>
      </c>
    </row>
    <row r="1460" spans="1:4" x14ac:dyDescent="0.25">
      <c r="A1460" s="92" t="s">
        <v>3159</v>
      </c>
      <c r="B1460" s="67" t="s">
        <v>1332</v>
      </c>
      <c r="C1460" s="74">
        <f>236.95*0.8*0.95</f>
        <v>180.08199999999999</v>
      </c>
      <c r="D1460" s="67" t="s">
        <v>1784</v>
      </c>
    </row>
    <row r="1461" spans="1:4" x14ac:dyDescent="0.25">
      <c r="A1461" s="92" t="s">
        <v>3162</v>
      </c>
      <c r="B1461" s="67" t="s">
        <v>1333</v>
      </c>
      <c r="C1461" s="74">
        <f>218.4*0.8*0.95</f>
        <v>165.98400000000001</v>
      </c>
      <c r="D1461" s="67" t="s">
        <v>1784</v>
      </c>
    </row>
    <row r="1462" spans="1:4" ht="15.75" x14ac:dyDescent="0.25">
      <c r="A1462" s="94" t="s">
        <v>2055</v>
      </c>
      <c r="B1462" s="67">
        <v>4265</v>
      </c>
      <c r="C1462" s="75">
        <v>4436</v>
      </c>
      <c r="D1462" s="67" t="s">
        <v>1784</v>
      </c>
    </row>
    <row r="1463" spans="1:4" ht="15.75" x14ac:dyDescent="0.25">
      <c r="A1463" s="94" t="s">
        <v>2056</v>
      </c>
      <c r="B1463" s="67">
        <v>4330</v>
      </c>
      <c r="C1463" s="75">
        <v>4400</v>
      </c>
      <c r="D1463" s="67" t="s">
        <v>1784</v>
      </c>
    </row>
    <row r="1464" spans="1:4" x14ac:dyDescent="0.25">
      <c r="A1464" s="91" t="s">
        <v>3284</v>
      </c>
      <c r="B1464" s="67" t="s">
        <v>1334</v>
      </c>
      <c r="C1464" s="74">
        <f>269.85*0.8*0.95</f>
        <v>205.08600000000001</v>
      </c>
      <c r="D1464" s="67" t="s">
        <v>1784</v>
      </c>
    </row>
    <row r="1465" spans="1:4" x14ac:dyDescent="0.25">
      <c r="A1465" s="91" t="s">
        <v>3283</v>
      </c>
      <c r="B1465" s="67" t="s">
        <v>1335</v>
      </c>
      <c r="C1465" s="74">
        <f>269.85*0.8*0.95</f>
        <v>205.08600000000001</v>
      </c>
      <c r="D1465" s="67" t="s">
        <v>1784</v>
      </c>
    </row>
    <row r="1466" spans="1:4" x14ac:dyDescent="0.25">
      <c r="A1466" s="92" t="s">
        <v>3025</v>
      </c>
      <c r="B1466" s="67" t="s">
        <v>1336</v>
      </c>
      <c r="C1466" s="74">
        <f>183.46*0.8*0.95</f>
        <v>139.42959999999999</v>
      </c>
      <c r="D1466" s="67" t="s">
        <v>1784</v>
      </c>
    </row>
    <row r="1467" spans="1:4" x14ac:dyDescent="0.25">
      <c r="A1467" s="91" t="s">
        <v>3030</v>
      </c>
      <c r="B1467" s="67" t="s">
        <v>1337</v>
      </c>
      <c r="C1467" s="74">
        <f>334.62*0.8*0.95</f>
        <v>254.31120000000001</v>
      </c>
      <c r="D1467" s="67" t="s">
        <v>1784</v>
      </c>
    </row>
    <row r="1468" spans="1:4" x14ac:dyDescent="0.25">
      <c r="A1468" s="91" t="s">
        <v>3031</v>
      </c>
      <c r="B1468" s="67" t="s">
        <v>1338</v>
      </c>
      <c r="C1468" s="74">
        <f>347.27*0.8*0.95</f>
        <v>263.92519999999996</v>
      </c>
      <c r="D1468" s="67" t="s">
        <v>1784</v>
      </c>
    </row>
    <row r="1469" spans="1:4" x14ac:dyDescent="0.25">
      <c r="A1469" s="91" t="s">
        <v>2709</v>
      </c>
      <c r="B1469" s="67" t="s">
        <v>1339</v>
      </c>
      <c r="C1469" s="74">
        <f>321.46*0.8*0.95</f>
        <v>244.30959999999999</v>
      </c>
      <c r="D1469" s="67" t="s">
        <v>1784</v>
      </c>
    </row>
    <row r="1470" spans="1:4" x14ac:dyDescent="0.25">
      <c r="A1470" s="91" t="s">
        <v>2708</v>
      </c>
      <c r="B1470" s="67" t="s">
        <v>1340</v>
      </c>
      <c r="C1470" s="74">
        <f>240.01*0.8*0.95</f>
        <v>182.4076</v>
      </c>
      <c r="D1470" s="67" t="s">
        <v>1784</v>
      </c>
    </row>
    <row r="1471" spans="1:4" x14ac:dyDescent="0.25">
      <c r="A1471" s="91" t="s">
        <v>2857</v>
      </c>
      <c r="B1471" s="67" t="s">
        <v>1341</v>
      </c>
      <c r="C1471" s="74">
        <f>213.85*0.8*0.95</f>
        <v>162.52600000000001</v>
      </c>
      <c r="D1471" s="67" t="s">
        <v>1784</v>
      </c>
    </row>
    <row r="1472" spans="1:4" x14ac:dyDescent="0.25">
      <c r="A1472" s="91" t="s">
        <v>3294</v>
      </c>
      <c r="B1472" s="67" t="s">
        <v>1342</v>
      </c>
      <c r="C1472" s="74">
        <f>310.1*0.8*0.95</f>
        <v>235.67600000000002</v>
      </c>
      <c r="D1472" s="67" t="s">
        <v>1784</v>
      </c>
    </row>
    <row r="1473" spans="1:4" x14ac:dyDescent="0.25">
      <c r="A1473" s="91" t="s">
        <v>3295</v>
      </c>
      <c r="B1473" s="67" t="s">
        <v>1343</v>
      </c>
      <c r="C1473" s="74">
        <f>310.1*0.8*0.95</f>
        <v>235.67600000000002</v>
      </c>
      <c r="D1473" s="67" t="s">
        <v>1784</v>
      </c>
    </row>
    <row r="1474" spans="1:4" x14ac:dyDescent="0.25">
      <c r="A1474" s="91" t="s">
        <v>3149</v>
      </c>
      <c r="B1474" s="67" t="s">
        <v>1344</v>
      </c>
      <c r="C1474" s="74">
        <f>158.9*0.8*0.95</f>
        <v>120.764</v>
      </c>
      <c r="D1474" s="67" t="s">
        <v>1784</v>
      </c>
    </row>
    <row r="1475" spans="1:4" x14ac:dyDescent="0.25">
      <c r="A1475" s="91" t="s">
        <v>3148</v>
      </c>
      <c r="B1475" s="67" t="s">
        <v>1345</v>
      </c>
      <c r="C1475" s="74">
        <f>117.11*0.8*0.95</f>
        <v>89.003599999999992</v>
      </c>
      <c r="D1475" s="67" t="s">
        <v>1784</v>
      </c>
    </row>
    <row r="1476" spans="1:4" x14ac:dyDescent="0.25">
      <c r="A1476" s="91" t="s">
        <v>3146</v>
      </c>
      <c r="B1476" s="67" t="s">
        <v>1346</v>
      </c>
      <c r="C1476" s="74">
        <f>117.11*0.8*0.95</f>
        <v>89.003599999999992</v>
      </c>
      <c r="D1476" s="67" t="s">
        <v>1784</v>
      </c>
    </row>
    <row r="1477" spans="1:4" x14ac:dyDescent="0.25">
      <c r="A1477" s="91" t="s">
        <v>3147</v>
      </c>
      <c r="B1477" s="67" t="s">
        <v>1347</v>
      </c>
      <c r="C1477" s="74">
        <f>158.9*0.8*0.95</f>
        <v>120.764</v>
      </c>
      <c r="D1477" s="67" t="s">
        <v>1784</v>
      </c>
    </row>
    <row r="1478" spans="1:4" x14ac:dyDescent="0.25">
      <c r="A1478" s="91" t="s">
        <v>3151</v>
      </c>
      <c r="B1478" s="67" t="s">
        <v>1348</v>
      </c>
      <c r="C1478" s="74">
        <f>358.69*0.8*0.95</f>
        <v>272.6044</v>
      </c>
      <c r="D1478" s="67" t="s">
        <v>1784</v>
      </c>
    </row>
    <row r="1479" spans="1:4" x14ac:dyDescent="0.25">
      <c r="A1479" s="91" t="s">
        <v>3150</v>
      </c>
      <c r="B1479" s="67" t="s">
        <v>1349</v>
      </c>
      <c r="C1479" s="74">
        <f>358.69*0.8*0.95</f>
        <v>272.6044</v>
      </c>
      <c r="D1479" s="67" t="s">
        <v>1784</v>
      </c>
    </row>
    <row r="1480" spans="1:4" x14ac:dyDescent="0.25">
      <c r="A1480" s="92" t="s">
        <v>3279</v>
      </c>
      <c r="B1480" s="67" t="s">
        <v>1350</v>
      </c>
      <c r="C1480" s="74">
        <f>308.9*0.8*0.95</f>
        <v>234.76399999999998</v>
      </c>
      <c r="D1480" s="67" t="s">
        <v>1784</v>
      </c>
    </row>
    <row r="1481" spans="1:4" x14ac:dyDescent="0.25">
      <c r="A1481" s="92" t="s">
        <v>2997</v>
      </c>
      <c r="B1481" s="67" t="s">
        <v>1351</v>
      </c>
      <c r="C1481" s="74">
        <f>143.85*0.8*0.95</f>
        <v>109.32599999999999</v>
      </c>
      <c r="D1481" s="67" t="s">
        <v>1784</v>
      </c>
    </row>
    <row r="1482" spans="1:4" x14ac:dyDescent="0.25">
      <c r="A1482" s="91" t="s">
        <v>3042</v>
      </c>
      <c r="B1482" s="67" t="s">
        <v>1352</v>
      </c>
      <c r="C1482" s="74">
        <f>614.25*0.8*0.95</f>
        <v>466.83</v>
      </c>
      <c r="D1482" s="67" t="s">
        <v>1784</v>
      </c>
    </row>
    <row r="1483" spans="1:4" x14ac:dyDescent="0.25">
      <c r="A1483" s="91" t="s">
        <v>3043</v>
      </c>
      <c r="B1483" s="67" t="s">
        <v>1353</v>
      </c>
      <c r="C1483" s="74">
        <f>618.8*0.8*0.95</f>
        <v>470.28799999999995</v>
      </c>
      <c r="D1483" s="67" t="s">
        <v>1784</v>
      </c>
    </row>
    <row r="1484" spans="1:4" x14ac:dyDescent="0.25">
      <c r="A1484" s="91" t="s">
        <v>3040</v>
      </c>
      <c r="B1484" s="67" t="s">
        <v>1354</v>
      </c>
      <c r="C1484" s="74">
        <f>368.55*0.8*0.95</f>
        <v>280.09800000000001</v>
      </c>
      <c r="D1484" s="67" t="s">
        <v>1784</v>
      </c>
    </row>
    <row r="1485" spans="1:4" x14ac:dyDescent="0.25">
      <c r="A1485" s="91" t="s">
        <v>3041</v>
      </c>
      <c r="B1485" s="67" t="s">
        <v>1355</v>
      </c>
      <c r="C1485" s="74">
        <f>377.65*0.8*0.95</f>
        <v>287.01400000000001</v>
      </c>
      <c r="D1485" s="67" t="s">
        <v>1784</v>
      </c>
    </row>
    <row r="1486" spans="1:4" x14ac:dyDescent="0.25">
      <c r="A1486" s="92" t="s">
        <v>2998</v>
      </c>
      <c r="B1486" s="67" t="s">
        <v>1356</v>
      </c>
      <c r="C1486" s="74">
        <f>141.05*0.8*0.95</f>
        <v>107.19800000000001</v>
      </c>
      <c r="D1486" s="67" t="s">
        <v>1784</v>
      </c>
    </row>
    <row r="1487" spans="1:4" x14ac:dyDescent="0.25">
      <c r="A1487" s="91" t="s">
        <v>3278</v>
      </c>
      <c r="B1487" s="67" t="s">
        <v>1357</v>
      </c>
      <c r="C1487" s="74">
        <f>661.43*0.8*0.95</f>
        <v>502.68680000000001</v>
      </c>
      <c r="D1487" s="67" t="s">
        <v>1784</v>
      </c>
    </row>
    <row r="1488" spans="1:4" x14ac:dyDescent="0.25">
      <c r="A1488" s="92" t="s">
        <v>3248</v>
      </c>
      <c r="B1488" s="67" t="s">
        <v>1358</v>
      </c>
      <c r="C1488" s="74">
        <f>94.09*0.8*0.95</f>
        <v>71.508400000000009</v>
      </c>
      <c r="D1488" s="67" t="s">
        <v>1784</v>
      </c>
    </row>
    <row r="1489" spans="1:4" x14ac:dyDescent="0.25">
      <c r="A1489" s="92" t="s">
        <v>3277</v>
      </c>
      <c r="B1489" s="67" t="s">
        <v>1359</v>
      </c>
      <c r="C1489" s="74">
        <f>475.71*0.8*0.95</f>
        <v>361.53959999999995</v>
      </c>
      <c r="D1489" s="67" t="s">
        <v>1784</v>
      </c>
    </row>
    <row r="1490" spans="1:4" x14ac:dyDescent="0.25">
      <c r="A1490" s="92" t="s">
        <v>3291</v>
      </c>
      <c r="B1490" s="67" t="s">
        <v>1360</v>
      </c>
      <c r="C1490" s="74">
        <f>1732.5*0.8*0.95</f>
        <v>1316.7</v>
      </c>
      <c r="D1490" s="67" t="s">
        <v>1784</v>
      </c>
    </row>
    <row r="1491" spans="1:4" x14ac:dyDescent="0.25">
      <c r="A1491" s="91" t="s">
        <v>3029</v>
      </c>
      <c r="B1491" s="67" t="s">
        <v>1361</v>
      </c>
      <c r="C1491" s="74">
        <f>216.26*0.8*0.95</f>
        <v>164.35759999999999</v>
      </c>
      <c r="D1491" s="67" t="s">
        <v>1784</v>
      </c>
    </row>
    <row r="1492" spans="1:4" x14ac:dyDescent="0.25">
      <c r="A1492" s="91" t="s">
        <v>3028</v>
      </c>
      <c r="B1492" s="67" t="s">
        <v>1362</v>
      </c>
      <c r="C1492" s="74">
        <f>182.39*0.8*0.95</f>
        <v>138.6164</v>
      </c>
      <c r="D1492" s="67" t="s">
        <v>1784</v>
      </c>
    </row>
    <row r="1493" spans="1:4" x14ac:dyDescent="0.25">
      <c r="A1493" s="91" t="s">
        <v>3027</v>
      </c>
      <c r="B1493" s="67" t="s">
        <v>1363</v>
      </c>
      <c r="C1493" s="74">
        <f>172.58*0.8*0.95</f>
        <v>131.16080000000002</v>
      </c>
      <c r="D1493" s="67" t="s">
        <v>1784</v>
      </c>
    </row>
    <row r="1494" spans="1:4" x14ac:dyDescent="0.25">
      <c r="A1494" s="92" t="s">
        <v>3003</v>
      </c>
      <c r="B1494" s="67" t="s">
        <v>1364</v>
      </c>
      <c r="C1494" s="74">
        <f>204.75*0.8*0.95</f>
        <v>155.61000000000001</v>
      </c>
      <c r="D1494" s="67" t="s">
        <v>1784</v>
      </c>
    </row>
    <row r="1495" spans="1:4" x14ac:dyDescent="0.25">
      <c r="A1495" s="92" t="s">
        <v>3046</v>
      </c>
      <c r="B1495" s="67" t="s">
        <v>1365</v>
      </c>
      <c r="C1495" s="74">
        <f>190.75*0.8*0.95</f>
        <v>144.97</v>
      </c>
      <c r="D1495" s="67" t="s">
        <v>1784</v>
      </c>
    </row>
    <row r="1496" spans="1:4" x14ac:dyDescent="0.25">
      <c r="A1496" s="92" t="s">
        <v>3046</v>
      </c>
      <c r="B1496" s="67" t="s">
        <v>1365</v>
      </c>
      <c r="C1496" s="74">
        <f>190.75*0.8*0.95</f>
        <v>144.97</v>
      </c>
      <c r="D1496" s="67" t="s">
        <v>1784</v>
      </c>
    </row>
    <row r="1497" spans="1:4" x14ac:dyDescent="0.25">
      <c r="A1497" s="92" t="s">
        <v>3047</v>
      </c>
      <c r="B1497" s="67" t="s">
        <v>1366</v>
      </c>
      <c r="C1497" s="74">
        <f>190.75*0.8*0.95</f>
        <v>144.97</v>
      </c>
      <c r="D1497" s="67" t="s">
        <v>1784</v>
      </c>
    </row>
    <row r="1498" spans="1:4" x14ac:dyDescent="0.25">
      <c r="A1498" s="92" t="s">
        <v>3047</v>
      </c>
      <c r="B1498" s="67" t="s">
        <v>1366</v>
      </c>
      <c r="C1498" s="74">
        <f>190.75*0.8*0.95</f>
        <v>144.97</v>
      </c>
      <c r="D1498" s="67" t="s">
        <v>1784</v>
      </c>
    </row>
    <row r="1499" spans="1:4" x14ac:dyDescent="0.25">
      <c r="A1499" s="91" t="s">
        <v>3048</v>
      </c>
      <c r="B1499" s="67" t="s">
        <v>1367</v>
      </c>
      <c r="C1499" s="74">
        <f>54.6*0.8*0.95</f>
        <v>41.496000000000002</v>
      </c>
      <c r="D1499" s="67" t="s">
        <v>1784</v>
      </c>
    </row>
    <row r="1500" spans="1:4" x14ac:dyDescent="0.25">
      <c r="A1500" s="91" t="s">
        <v>3048</v>
      </c>
      <c r="B1500" s="67" t="s">
        <v>1367</v>
      </c>
      <c r="C1500" s="74">
        <f>54.6*0.8*0.95</f>
        <v>41.496000000000002</v>
      </c>
      <c r="D1500" s="67" t="s">
        <v>1784</v>
      </c>
    </row>
    <row r="1501" spans="1:4" x14ac:dyDescent="0.25">
      <c r="A1501" s="91" t="s">
        <v>3049</v>
      </c>
      <c r="B1501" s="67" t="s">
        <v>1368</v>
      </c>
      <c r="C1501" s="74">
        <f>54.6*0.8*0.95</f>
        <v>41.496000000000002</v>
      </c>
      <c r="D1501" s="67" t="s">
        <v>1784</v>
      </c>
    </row>
    <row r="1502" spans="1:4" x14ac:dyDescent="0.25">
      <c r="A1502" s="91" t="s">
        <v>3049</v>
      </c>
      <c r="B1502" s="67" t="s">
        <v>1368</v>
      </c>
      <c r="C1502" s="74">
        <f>54.6*0.8*0.95</f>
        <v>41.496000000000002</v>
      </c>
      <c r="D1502" s="67" t="s">
        <v>1784</v>
      </c>
    </row>
    <row r="1503" spans="1:4" x14ac:dyDescent="0.25">
      <c r="A1503" s="92" t="s">
        <v>3044</v>
      </c>
      <c r="B1503" s="67" t="s">
        <v>1369</v>
      </c>
      <c r="C1503" s="74">
        <f>238*0.8*0.95</f>
        <v>180.88</v>
      </c>
      <c r="D1503" s="67" t="s">
        <v>1784</v>
      </c>
    </row>
    <row r="1504" spans="1:4" x14ac:dyDescent="0.25">
      <c r="A1504" s="92" t="s">
        <v>3044</v>
      </c>
      <c r="B1504" s="67" t="s">
        <v>1369</v>
      </c>
      <c r="C1504" s="74">
        <f>238*0.8*0.95</f>
        <v>180.88</v>
      </c>
      <c r="D1504" s="67" t="s">
        <v>1784</v>
      </c>
    </row>
    <row r="1505" spans="1:4" x14ac:dyDescent="0.25">
      <c r="A1505" s="92" t="s">
        <v>3045</v>
      </c>
      <c r="B1505" s="67" t="s">
        <v>1370</v>
      </c>
      <c r="C1505" s="74">
        <f>245.6*0.8*0.95</f>
        <v>186.65600000000001</v>
      </c>
      <c r="D1505" s="67" t="s">
        <v>1784</v>
      </c>
    </row>
    <row r="1506" spans="1:4" x14ac:dyDescent="0.25">
      <c r="A1506" s="92" t="s">
        <v>3045</v>
      </c>
      <c r="B1506" s="67" t="s">
        <v>1370</v>
      </c>
      <c r="C1506" s="74">
        <f>245.6*0.8*0.95</f>
        <v>186.65600000000001</v>
      </c>
      <c r="D1506" s="67" t="s">
        <v>1784</v>
      </c>
    </row>
    <row r="1507" spans="1:4" x14ac:dyDescent="0.25">
      <c r="A1507" s="91" t="s">
        <v>2710</v>
      </c>
      <c r="B1507" s="67" t="s">
        <v>1371</v>
      </c>
      <c r="C1507" s="74">
        <f>324.67*0.8*0.95</f>
        <v>246.74920000000003</v>
      </c>
      <c r="D1507" s="67" t="s">
        <v>1784</v>
      </c>
    </row>
    <row r="1508" spans="1:4" x14ac:dyDescent="0.25">
      <c r="A1508" s="91" t="s">
        <v>2707</v>
      </c>
      <c r="B1508" s="67" t="s">
        <v>1372</v>
      </c>
      <c r="C1508" s="74">
        <f>229.92*0.8*0.95</f>
        <v>174.73920000000001</v>
      </c>
      <c r="D1508" s="67" t="s">
        <v>1784</v>
      </c>
    </row>
    <row r="1509" spans="1:4" x14ac:dyDescent="0.25">
      <c r="A1509" s="91" t="s">
        <v>3039</v>
      </c>
      <c r="B1509" s="67" t="s">
        <v>1373</v>
      </c>
      <c r="C1509" s="74">
        <f>350.35*0.8*0.95</f>
        <v>266.26600000000002</v>
      </c>
      <c r="D1509" s="67" t="s">
        <v>1784</v>
      </c>
    </row>
    <row r="1510" spans="1:4" x14ac:dyDescent="0.25">
      <c r="A1510" s="92" t="s">
        <v>3038</v>
      </c>
      <c r="B1510" s="67" t="s">
        <v>1374</v>
      </c>
      <c r="C1510" s="74">
        <f>350.35*0.8*0.95</f>
        <v>266.26600000000002</v>
      </c>
      <c r="D1510" s="67" t="s">
        <v>1784</v>
      </c>
    </row>
    <row r="1511" spans="1:4" x14ac:dyDescent="0.25">
      <c r="A1511" s="91" t="s">
        <v>2858</v>
      </c>
      <c r="B1511" s="67" t="s">
        <v>1375</v>
      </c>
      <c r="C1511" s="74">
        <f>157.15*0.8*0.95</f>
        <v>119.43400000000001</v>
      </c>
      <c r="D1511" s="67" t="s">
        <v>1784</v>
      </c>
    </row>
    <row r="1512" spans="1:4" x14ac:dyDescent="0.25">
      <c r="A1512" s="92" t="s">
        <v>3233</v>
      </c>
      <c r="B1512" s="67" t="s">
        <v>1376</v>
      </c>
      <c r="C1512" s="74">
        <f>241.15*0.8*0.95</f>
        <v>183.274</v>
      </c>
      <c r="D1512" s="67" t="s">
        <v>1784</v>
      </c>
    </row>
    <row r="1513" spans="1:4" x14ac:dyDescent="0.25">
      <c r="A1513" s="92" t="s">
        <v>3287</v>
      </c>
      <c r="B1513" s="67" t="s">
        <v>1377</v>
      </c>
      <c r="C1513" s="74">
        <f>341.25*0.8*0.95</f>
        <v>259.34999999999997</v>
      </c>
      <c r="D1513" s="67" t="s">
        <v>1784</v>
      </c>
    </row>
    <row r="1514" spans="1:4" x14ac:dyDescent="0.25">
      <c r="A1514" s="92" t="s">
        <v>3286</v>
      </c>
      <c r="B1514" s="67" t="s">
        <v>1378</v>
      </c>
      <c r="C1514" s="74">
        <f>424.13*0.8*0.95</f>
        <v>322.33879999999999</v>
      </c>
      <c r="D1514" s="67" t="s">
        <v>1784</v>
      </c>
    </row>
    <row r="1515" spans="1:4" x14ac:dyDescent="0.25">
      <c r="A1515" s="92" t="s">
        <v>3288</v>
      </c>
      <c r="B1515" s="67" t="s">
        <v>1379</v>
      </c>
      <c r="C1515" s="74">
        <f>273*0.8*0.95</f>
        <v>207.48</v>
      </c>
      <c r="D1515" s="67" t="s">
        <v>1784</v>
      </c>
    </row>
    <row r="1516" spans="1:4" x14ac:dyDescent="0.25">
      <c r="A1516" s="92" t="s">
        <v>3290</v>
      </c>
      <c r="B1516" s="67" t="s">
        <v>1380</v>
      </c>
      <c r="C1516" s="74">
        <f>637*0.8*0.95</f>
        <v>484.12</v>
      </c>
      <c r="D1516" s="67" t="s">
        <v>1784</v>
      </c>
    </row>
    <row r="1517" spans="1:4" x14ac:dyDescent="0.25">
      <c r="A1517" s="92" t="s">
        <v>2711</v>
      </c>
      <c r="B1517" s="67" t="s">
        <v>1381</v>
      </c>
      <c r="C1517" s="74">
        <f>274.75*0.8*0.95</f>
        <v>208.81</v>
      </c>
      <c r="D1517" s="67" t="s">
        <v>1784</v>
      </c>
    </row>
    <row r="1518" spans="1:4" x14ac:dyDescent="0.25">
      <c r="A1518" s="92" t="s">
        <v>3026</v>
      </c>
      <c r="B1518" s="67" t="s">
        <v>1382</v>
      </c>
      <c r="C1518" s="74">
        <f>160.3*0.8*0.95</f>
        <v>121.828</v>
      </c>
      <c r="D1518" s="67" t="s">
        <v>1784</v>
      </c>
    </row>
    <row r="1519" spans="1:4" x14ac:dyDescent="0.25">
      <c r="A1519" s="91" t="s">
        <v>3034</v>
      </c>
      <c r="B1519" s="67" t="s">
        <v>1383</v>
      </c>
      <c r="C1519" s="74">
        <f>222.58*0.8*0.95</f>
        <v>169.16080000000002</v>
      </c>
      <c r="D1519" s="67" t="s">
        <v>1784</v>
      </c>
    </row>
    <row r="1520" spans="1:4" x14ac:dyDescent="0.25">
      <c r="A1520" s="91" t="s">
        <v>3035</v>
      </c>
      <c r="B1520" s="67" t="s">
        <v>1384</v>
      </c>
      <c r="C1520" s="74">
        <f>215.79*0.8*0.95</f>
        <v>164.00039999999998</v>
      </c>
      <c r="D1520" s="67" t="s">
        <v>1784</v>
      </c>
    </row>
    <row r="1521" spans="1:4" x14ac:dyDescent="0.25">
      <c r="A1521" s="91" t="s">
        <v>3032</v>
      </c>
      <c r="B1521" s="67" t="s">
        <v>1385</v>
      </c>
      <c r="C1521" s="74">
        <f>231.77*0.8*0.95</f>
        <v>176.14520000000002</v>
      </c>
      <c r="D1521" s="67" t="s">
        <v>1784</v>
      </c>
    </row>
    <row r="1522" spans="1:4" x14ac:dyDescent="0.25">
      <c r="A1522" s="91" t="s">
        <v>3033</v>
      </c>
      <c r="B1522" s="67" t="s">
        <v>1386</v>
      </c>
      <c r="C1522" s="74">
        <f>265.06*0.8*0.95</f>
        <v>201.44559999999998</v>
      </c>
      <c r="D1522" s="67" t="s">
        <v>1784</v>
      </c>
    </row>
    <row r="1523" spans="1:4" x14ac:dyDescent="0.25">
      <c r="A1523" s="91" t="s">
        <v>3036</v>
      </c>
      <c r="B1523" s="67" t="s">
        <v>1387</v>
      </c>
      <c r="C1523" s="74">
        <f>335.86*0.8*0.95</f>
        <v>255.25360000000003</v>
      </c>
      <c r="D1523" s="67" t="s">
        <v>1784</v>
      </c>
    </row>
    <row r="1524" spans="1:4" x14ac:dyDescent="0.25">
      <c r="A1524" s="91" t="s">
        <v>3037</v>
      </c>
      <c r="B1524" s="67" t="s">
        <v>1388</v>
      </c>
      <c r="C1524" s="74">
        <f>355.48*0.8*0.95</f>
        <v>270.16480000000001</v>
      </c>
      <c r="D1524" s="67" t="s">
        <v>1784</v>
      </c>
    </row>
    <row r="1525" spans="1:4" x14ac:dyDescent="0.25">
      <c r="A1525" s="91" t="s">
        <v>2901</v>
      </c>
      <c r="B1525" s="67" t="s">
        <v>1389</v>
      </c>
      <c r="C1525" s="74">
        <f>26.5*0.8*0.95</f>
        <v>20.14</v>
      </c>
      <c r="D1525" s="67" t="s">
        <v>1785</v>
      </c>
    </row>
    <row r="1526" spans="1:4" x14ac:dyDescent="0.25">
      <c r="A1526" s="91" t="s">
        <v>2929</v>
      </c>
      <c r="B1526" s="67" t="s">
        <v>1390</v>
      </c>
      <c r="C1526" s="74">
        <f>106.8*0.8*0.95</f>
        <v>81.167999999999992</v>
      </c>
      <c r="D1526" s="67" t="s">
        <v>1784</v>
      </c>
    </row>
    <row r="1527" spans="1:4" x14ac:dyDescent="0.25">
      <c r="A1527" s="91" t="s">
        <v>3114</v>
      </c>
      <c r="B1527" s="67" t="s">
        <v>1391</v>
      </c>
      <c r="C1527" s="74">
        <f>63.48*0.8*0.95</f>
        <v>48.244799999999998</v>
      </c>
      <c r="D1527" s="67" t="s">
        <v>1785</v>
      </c>
    </row>
    <row r="1528" spans="1:4" x14ac:dyDescent="0.25">
      <c r="A1528" s="92" t="s">
        <v>3113</v>
      </c>
      <c r="B1528" s="67" t="s">
        <v>1392</v>
      </c>
      <c r="C1528" s="74">
        <f>54.85*0.8*0.95</f>
        <v>41.686</v>
      </c>
      <c r="D1528" s="67" t="s">
        <v>1785</v>
      </c>
    </row>
    <row r="1529" spans="1:4" x14ac:dyDescent="0.25">
      <c r="A1529" s="91" t="s">
        <v>3178</v>
      </c>
      <c r="B1529" s="67" t="s">
        <v>1393</v>
      </c>
      <c r="C1529" s="74">
        <f>718.9*0.8*0.95</f>
        <v>546.36400000000003</v>
      </c>
      <c r="D1529" s="67" t="s">
        <v>1784</v>
      </c>
    </row>
    <row r="1530" spans="1:4" x14ac:dyDescent="0.25">
      <c r="A1530" s="92" t="s">
        <v>3063</v>
      </c>
      <c r="B1530" s="67" t="s">
        <v>1394</v>
      </c>
      <c r="C1530" s="74">
        <f>151.29*0.8*0.95</f>
        <v>114.98039999999999</v>
      </c>
      <c r="D1530" s="67" t="s">
        <v>1784</v>
      </c>
    </row>
    <row r="1531" spans="1:4" x14ac:dyDescent="0.25">
      <c r="A1531" s="91" t="s">
        <v>2756</v>
      </c>
      <c r="B1531" s="67" t="s">
        <v>1395</v>
      </c>
      <c r="C1531" s="74">
        <f>535.99*0.8*0.95</f>
        <v>407.35239999999999</v>
      </c>
      <c r="D1531" s="67" t="s">
        <v>1784</v>
      </c>
    </row>
    <row r="1532" spans="1:4" x14ac:dyDescent="0.25">
      <c r="A1532" s="91" t="s">
        <v>2757</v>
      </c>
      <c r="B1532" s="67" t="s">
        <v>1396</v>
      </c>
      <c r="C1532" s="74">
        <f>518.7*0.8*0.95</f>
        <v>394.21199999999999</v>
      </c>
      <c r="D1532" s="67" t="s">
        <v>1784</v>
      </c>
    </row>
    <row r="1533" spans="1:4" x14ac:dyDescent="0.25">
      <c r="A1533" s="91" t="s">
        <v>3067</v>
      </c>
      <c r="B1533" s="67" t="s">
        <v>1397</v>
      </c>
      <c r="C1533" s="74">
        <f>381.89*0.8*0.95</f>
        <v>290.2364</v>
      </c>
      <c r="D1533" s="67" t="s">
        <v>1784</v>
      </c>
    </row>
    <row r="1534" spans="1:4" x14ac:dyDescent="0.25">
      <c r="A1534" s="91" t="s">
        <v>3065</v>
      </c>
      <c r="B1534" s="67" t="s">
        <v>1398</v>
      </c>
      <c r="C1534" s="74">
        <f>381.89*0.8*0.95</f>
        <v>290.2364</v>
      </c>
      <c r="D1534" s="67" t="s">
        <v>1784</v>
      </c>
    </row>
    <row r="1535" spans="1:4" x14ac:dyDescent="0.25">
      <c r="A1535" s="91" t="s">
        <v>3069</v>
      </c>
      <c r="B1535" s="67" t="s">
        <v>1399</v>
      </c>
      <c r="C1535" s="74">
        <f>13.75*0.8*0.95</f>
        <v>10.45</v>
      </c>
      <c r="D1535" s="67" t="s">
        <v>1784</v>
      </c>
    </row>
    <row r="1536" spans="1:4" x14ac:dyDescent="0.25">
      <c r="A1536" s="92" t="s">
        <v>3059</v>
      </c>
      <c r="B1536" s="67" t="s">
        <v>1400</v>
      </c>
      <c r="C1536" s="74">
        <f>257.36*0.8*0.95</f>
        <v>195.59360000000001</v>
      </c>
      <c r="D1536" s="67" t="s">
        <v>1784</v>
      </c>
    </row>
    <row r="1537" spans="1:4" x14ac:dyDescent="0.25">
      <c r="A1537" s="92" t="s">
        <v>3061</v>
      </c>
      <c r="B1537" s="67" t="s">
        <v>1401</v>
      </c>
      <c r="C1537" s="74">
        <f>244.72*0.8*0.95</f>
        <v>185.9872</v>
      </c>
      <c r="D1537" s="67" t="s">
        <v>1784</v>
      </c>
    </row>
    <row r="1538" spans="1:4" x14ac:dyDescent="0.25">
      <c r="A1538" s="91" t="s">
        <v>3052</v>
      </c>
      <c r="B1538" s="67" t="s">
        <v>1402</v>
      </c>
      <c r="C1538" s="74">
        <f>411.34*0.8*0.95</f>
        <v>312.61840000000001</v>
      </c>
      <c r="D1538" s="67" t="s">
        <v>1784</v>
      </c>
    </row>
    <row r="1539" spans="1:4" x14ac:dyDescent="0.25">
      <c r="A1539" s="91" t="s">
        <v>3053</v>
      </c>
      <c r="B1539" s="67" t="s">
        <v>1403</v>
      </c>
      <c r="C1539" s="74">
        <f>50.52*0.8*0.95</f>
        <v>38.395200000000003</v>
      </c>
      <c r="D1539" s="67" t="s">
        <v>1784</v>
      </c>
    </row>
    <row r="1540" spans="1:4" x14ac:dyDescent="0.25">
      <c r="A1540" s="92" t="s">
        <v>3055</v>
      </c>
      <c r="B1540" s="67" t="s">
        <v>1404</v>
      </c>
      <c r="C1540" s="74">
        <f>249.5*0.8*0.95</f>
        <v>189.62</v>
      </c>
      <c r="D1540" s="67" t="s">
        <v>1785</v>
      </c>
    </row>
    <row r="1541" spans="1:4" x14ac:dyDescent="0.25">
      <c r="A1541" s="92" t="s">
        <v>2750</v>
      </c>
      <c r="B1541" s="67" t="s">
        <v>1405</v>
      </c>
      <c r="C1541" s="74">
        <f>691.85*0.8*0.95</f>
        <v>525.80600000000004</v>
      </c>
      <c r="D1541" s="67" t="s">
        <v>1784</v>
      </c>
    </row>
    <row r="1542" spans="1:4" x14ac:dyDescent="0.25">
      <c r="A1542" s="92" t="s">
        <v>2751</v>
      </c>
      <c r="B1542" s="67" t="s">
        <v>1406</v>
      </c>
      <c r="C1542" s="74">
        <f>719.16*0.8*0.95</f>
        <v>546.5616</v>
      </c>
      <c r="D1542" s="67" t="s">
        <v>1784</v>
      </c>
    </row>
    <row r="1543" spans="1:4" x14ac:dyDescent="0.25">
      <c r="A1543" s="92" t="s">
        <v>2752</v>
      </c>
      <c r="B1543" s="67" t="s">
        <v>1407</v>
      </c>
      <c r="C1543" s="74">
        <f>41.47*0.8*0.95</f>
        <v>31.517199999999999</v>
      </c>
      <c r="D1543" s="67" t="s">
        <v>1784</v>
      </c>
    </row>
    <row r="1544" spans="1:4" x14ac:dyDescent="0.25">
      <c r="A1544" s="92" t="s">
        <v>2753</v>
      </c>
      <c r="B1544" s="67" t="s">
        <v>1408</v>
      </c>
      <c r="C1544" s="74">
        <f>41.84*0.8*0.95</f>
        <v>31.798400000000001</v>
      </c>
      <c r="D1544" s="67" t="s">
        <v>1784</v>
      </c>
    </row>
    <row r="1545" spans="1:4" x14ac:dyDescent="0.25">
      <c r="A1545" s="92" t="s">
        <v>3056</v>
      </c>
      <c r="B1545" s="67" t="s">
        <v>1409</v>
      </c>
      <c r="C1545" s="74">
        <f>22.91*0.8*0.95</f>
        <v>17.4116</v>
      </c>
      <c r="D1545" s="67" t="s">
        <v>1785</v>
      </c>
    </row>
    <row r="1546" spans="1:4" x14ac:dyDescent="0.25">
      <c r="A1546" s="91" t="s">
        <v>3071</v>
      </c>
      <c r="B1546" s="67" t="s">
        <v>1410</v>
      </c>
      <c r="C1546" s="74">
        <f>321.1*0.8*0.95</f>
        <v>244.03600000000003</v>
      </c>
      <c r="D1546" s="67" t="s">
        <v>1784</v>
      </c>
    </row>
    <row r="1547" spans="1:4" x14ac:dyDescent="0.25">
      <c r="A1547" s="92" t="s">
        <v>3163</v>
      </c>
      <c r="B1547" s="67" t="s">
        <v>1411</v>
      </c>
      <c r="C1547" s="74">
        <f>44.45*0.8*0.95</f>
        <v>33.782000000000004</v>
      </c>
      <c r="D1547" s="67" t="s">
        <v>1784</v>
      </c>
    </row>
    <row r="1548" spans="1:4" x14ac:dyDescent="0.25">
      <c r="A1548" s="92" t="s">
        <v>3164</v>
      </c>
      <c r="B1548" s="67" t="s">
        <v>1412</v>
      </c>
      <c r="C1548" s="74">
        <f>51.1*0.8*0.95</f>
        <v>38.835999999999999</v>
      </c>
      <c r="D1548" s="67" t="s">
        <v>1784</v>
      </c>
    </row>
    <row r="1549" spans="1:4" ht="15.75" x14ac:dyDescent="0.25">
      <c r="A1549" s="94" t="s">
        <v>1961</v>
      </c>
      <c r="B1549" s="67">
        <v>2807</v>
      </c>
      <c r="C1549" s="75">
        <v>2845</v>
      </c>
      <c r="D1549" s="67" t="s">
        <v>1784</v>
      </c>
    </row>
    <row r="1550" spans="1:4" ht="15.75" x14ac:dyDescent="0.25">
      <c r="A1550" s="94" t="s">
        <v>2057</v>
      </c>
      <c r="B1550" s="67">
        <v>3097</v>
      </c>
      <c r="C1550" s="75">
        <v>11274</v>
      </c>
      <c r="D1550" s="67" t="s">
        <v>1784</v>
      </c>
    </row>
    <row r="1551" spans="1:4" ht="15.75" x14ac:dyDescent="0.25">
      <c r="A1551" s="94" t="s">
        <v>2058</v>
      </c>
      <c r="B1551" s="67">
        <v>5417</v>
      </c>
      <c r="C1551" s="75">
        <v>5177</v>
      </c>
      <c r="D1551" s="67" t="s">
        <v>1784</v>
      </c>
    </row>
    <row r="1552" spans="1:4" ht="15.75" x14ac:dyDescent="0.25">
      <c r="A1552" s="94" t="s">
        <v>2059</v>
      </c>
      <c r="B1552" s="67">
        <v>4547</v>
      </c>
      <c r="C1552" s="75">
        <v>3256</v>
      </c>
      <c r="D1552" s="67" t="s">
        <v>1784</v>
      </c>
    </row>
    <row r="1553" spans="1:4" ht="15.75" x14ac:dyDescent="0.25">
      <c r="A1553" s="94" t="s">
        <v>2060</v>
      </c>
      <c r="B1553" s="67">
        <v>4735</v>
      </c>
      <c r="C1553" s="75">
        <v>2582</v>
      </c>
      <c r="D1553" s="67" t="s">
        <v>1784</v>
      </c>
    </row>
    <row r="1554" spans="1:4" ht="15.75" x14ac:dyDescent="0.25">
      <c r="A1554" s="94" t="s">
        <v>2061</v>
      </c>
      <c r="B1554" s="67">
        <v>2995</v>
      </c>
      <c r="C1554" s="75">
        <v>2943</v>
      </c>
      <c r="D1554" s="67" t="s">
        <v>1784</v>
      </c>
    </row>
    <row r="1555" spans="1:4" ht="15.75" x14ac:dyDescent="0.25">
      <c r="A1555" s="94" t="s">
        <v>2159</v>
      </c>
      <c r="B1555" s="67">
        <v>768</v>
      </c>
      <c r="C1555" s="75">
        <v>8967</v>
      </c>
      <c r="D1555" s="67" t="s">
        <v>1784</v>
      </c>
    </row>
    <row r="1556" spans="1:4" ht="15.75" x14ac:dyDescent="0.25">
      <c r="A1556" s="94" t="s">
        <v>2160</v>
      </c>
      <c r="B1556" s="67">
        <v>3763</v>
      </c>
      <c r="C1556" s="75">
        <v>1533</v>
      </c>
      <c r="D1556" s="67" t="s">
        <v>1784</v>
      </c>
    </row>
    <row r="1557" spans="1:4" ht="15.75" x14ac:dyDescent="0.25">
      <c r="A1557" s="94" t="s">
        <v>2161</v>
      </c>
      <c r="B1557" s="67">
        <v>1561</v>
      </c>
      <c r="C1557" s="75">
        <v>3832</v>
      </c>
      <c r="D1557" s="67" t="s">
        <v>1784</v>
      </c>
    </row>
    <row r="1558" spans="1:4" ht="15.75" x14ac:dyDescent="0.25">
      <c r="A1558" s="94" t="s">
        <v>2162</v>
      </c>
      <c r="B1558" s="67">
        <v>881</v>
      </c>
      <c r="C1558" s="75">
        <v>3066</v>
      </c>
      <c r="D1558" s="67" t="s">
        <v>1784</v>
      </c>
    </row>
    <row r="1559" spans="1:4" ht="15.75" x14ac:dyDescent="0.25">
      <c r="A1559" s="94" t="s">
        <v>2163</v>
      </c>
      <c r="B1559" s="67">
        <v>1070</v>
      </c>
      <c r="C1559" s="75">
        <v>11595</v>
      </c>
      <c r="D1559" s="67" t="s">
        <v>1784</v>
      </c>
    </row>
    <row r="1560" spans="1:4" ht="15.75" x14ac:dyDescent="0.25">
      <c r="A1560" s="94" t="s">
        <v>2164</v>
      </c>
      <c r="B1560" s="67">
        <v>1519</v>
      </c>
      <c r="C1560" s="75">
        <v>2749</v>
      </c>
      <c r="D1560" s="67" t="s">
        <v>1784</v>
      </c>
    </row>
    <row r="1561" spans="1:4" ht="15.75" x14ac:dyDescent="0.25">
      <c r="A1561" s="94" t="s">
        <v>2165</v>
      </c>
      <c r="B1561" s="67">
        <v>3765</v>
      </c>
      <c r="C1561" s="75">
        <v>2830</v>
      </c>
      <c r="D1561" s="67" t="s">
        <v>1784</v>
      </c>
    </row>
    <row r="1562" spans="1:4" ht="15.75" x14ac:dyDescent="0.25">
      <c r="A1562" s="94" t="s">
        <v>2328</v>
      </c>
      <c r="B1562" s="67">
        <v>4260</v>
      </c>
      <c r="C1562" s="75">
        <v>2879</v>
      </c>
      <c r="D1562" s="67" t="s">
        <v>1784</v>
      </c>
    </row>
    <row r="1563" spans="1:4" x14ac:dyDescent="0.25">
      <c r="A1563" s="91" t="s">
        <v>3285</v>
      </c>
      <c r="B1563" s="67" t="s">
        <v>1413</v>
      </c>
      <c r="C1563" s="74">
        <v>0.01</v>
      </c>
      <c r="D1563" s="67" t="s">
        <v>1784</v>
      </c>
    </row>
    <row r="1564" spans="1:4" ht="15.75" x14ac:dyDescent="0.25">
      <c r="A1564" s="94" t="s">
        <v>1962</v>
      </c>
      <c r="B1564" s="67">
        <v>3300</v>
      </c>
      <c r="C1564" s="75">
        <v>1859</v>
      </c>
      <c r="D1564" s="67" t="s">
        <v>1784</v>
      </c>
    </row>
    <row r="1565" spans="1:4" x14ac:dyDescent="0.25">
      <c r="A1565" s="91" t="s">
        <v>3108</v>
      </c>
      <c r="B1565" s="67" t="s">
        <v>1414</v>
      </c>
      <c r="C1565" s="74">
        <f>33.13*0.8*0.95</f>
        <v>25.178800000000003</v>
      </c>
      <c r="D1565" s="67" t="s">
        <v>1785</v>
      </c>
    </row>
    <row r="1566" spans="1:4" ht="15.75" x14ac:dyDescent="0.25">
      <c r="A1566" s="94" t="s">
        <v>2425</v>
      </c>
      <c r="B1566" s="67">
        <v>3119</v>
      </c>
      <c r="C1566" s="75">
        <v>5165</v>
      </c>
      <c r="D1566" s="67" t="s">
        <v>1784</v>
      </c>
    </row>
    <row r="1567" spans="1:4" ht="15.75" x14ac:dyDescent="0.25">
      <c r="A1567" s="94" t="s">
        <v>2455</v>
      </c>
      <c r="B1567" s="67">
        <v>1407</v>
      </c>
      <c r="C1567" s="75">
        <v>5135</v>
      </c>
      <c r="D1567" s="67" t="s">
        <v>1784</v>
      </c>
    </row>
    <row r="1568" spans="1:4" x14ac:dyDescent="0.25">
      <c r="A1568" s="91" t="s">
        <v>3109</v>
      </c>
      <c r="B1568" s="67" t="s">
        <v>1415</v>
      </c>
      <c r="C1568" s="74">
        <f>267.96*0.8*0.95</f>
        <v>203.64959999999999</v>
      </c>
      <c r="D1568" s="67" t="s">
        <v>1785</v>
      </c>
    </row>
    <row r="1569" spans="1:4" x14ac:dyDescent="0.25">
      <c r="A1569" s="91" t="s">
        <v>2902</v>
      </c>
      <c r="B1569" s="67" t="s">
        <v>1416</v>
      </c>
      <c r="C1569" s="74">
        <f>9.95*0.8*0.95</f>
        <v>7.5619999999999994</v>
      </c>
      <c r="D1569" s="67" t="s">
        <v>1785</v>
      </c>
    </row>
    <row r="1570" spans="1:4" x14ac:dyDescent="0.25">
      <c r="A1570" s="91" t="s">
        <v>3269</v>
      </c>
      <c r="B1570" s="67" t="s">
        <v>1417</v>
      </c>
      <c r="C1570" s="74">
        <f>43.03*0.8*0.95</f>
        <v>32.702799999999996</v>
      </c>
      <c r="D1570" s="67" t="s">
        <v>1784</v>
      </c>
    </row>
    <row r="1571" spans="1:4" x14ac:dyDescent="0.25">
      <c r="A1571" s="91" t="s">
        <v>3270</v>
      </c>
      <c r="B1571" s="67" t="s">
        <v>1418</v>
      </c>
      <c r="C1571" s="74">
        <f>43.03*0.8*0.95</f>
        <v>32.702799999999996</v>
      </c>
      <c r="D1571" s="67" t="s">
        <v>1784</v>
      </c>
    </row>
    <row r="1572" spans="1:4" x14ac:dyDescent="0.25">
      <c r="A1572" s="91" t="s">
        <v>3271</v>
      </c>
      <c r="B1572" s="67" t="s">
        <v>1419</v>
      </c>
      <c r="C1572" s="74">
        <f>52.39*0.8*0.95</f>
        <v>39.816400000000002</v>
      </c>
      <c r="D1572" s="67" t="s">
        <v>1784</v>
      </c>
    </row>
    <row r="1573" spans="1:4" x14ac:dyDescent="0.25">
      <c r="A1573" s="91" t="s">
        <v>3272</v>
      </c>
      <c r="B1573" s="67" t="s">
        <v>1420</v>
      </c>
      <c r="C1573" s="74">
        <f>52.39*0.8*0.95</f>
        <v>39.816400000000002</v>
      </c>
      <c r="D1573" s="67" t="s">
        <v>1784</v>
      </c>
    </row>
    <row r="1574" spans="1:4" x14ac:dyDescent="0.25">
      <c r="A1574" s="91" t="s">
        <v>3273</v>
      </c>
      <c r="B1574" s="67" t="s">
        <v>1421</v>
      </c>
      <c r="C1574" s="74">
        <f>52.39*0.8*0.95</f>
        <v>39.816400000000002</v>
      </c>
      <c r="D1574" s="67" t="s">
        <v>1784</v>
      </c>
    </row>
    <row r="1575" spans="1:4" x14ac:dyDescent="0.25">
      <c r="A1575" s="91" t="s">
        <v>3274</v>
      </c>
      <c r="B1575" s="67" t="s">
        <v>1422</v>
      </c>
      <c r="C1575" s="74">
        <f>40.25*0.8*0.95</f>
        <v>30.59</v>
      </c>
      <c r="D1575" s="67" t="s">
        <v>1784</v>
      </c>
    </row>
    <row r="1576" spans="1:4" x14ac:dyDescent="0.25">
      <c r="A1576" s="91" t="s">
        <v>3249</v>
      </c>
      <c r="B1576" s="67" t="s">
        <v>1423</v>
      </c>
      <c r="C1576" s="74">
        <f>19.64*0.8*0.95</f>
        <v>14.926400000000001</v>
      </c>
      <c r="D1576" s="67" t="s">
        <v>1784</v>
      </c>
    </row>
    <row r="1577" spans="1:4" x14ac:dyDescent="0.25">
      <c r="A1577" s="91" t="s">
        <v>3247</v>
      </c>
      <c r="B1577" s="67" t="s">
        <v>1424</v>
      </c>
      <c r="C1577" s="74">
        <f>19.64*0.8*0.95</f>
        <v>14.926400000000001</v>
      </c>
      <c r="D1577" s="67" t="s">
        <v>1784</v>
      </c>
    </row>
    <row r="1578" spans="1:4" x14ac:dyDescent="0.25">
      <c r="A1578" s="91" t="s">
        <v>3258</v>
      </c>
      <c r="B1578" s="67" t="s">
        <v>1425</v>
      </c>
      <c r="C1578" s="74">
        <f>48.64*0.8*0.95</f>
        <v>36.966400000000007</v>
      </c>
      <c r="D1578" s="67" t="s">
        <v>1784</v>
      </c>
    </row>
    <row r="1579" spans="1:4" x14ac:dyDescent="0.25">
      <c r="A1579" s="91" t="s">
        <v>3259</v>
      </c>
      <c r="B1579" s="67" t="s">
        <v>1426</v>
      </c>
      <c r="C1579" s="74">
        <f>48.64*0.8*0.95</f>
        <v>36.966400000000007</v>
      </c>
      <c r="D1579" s="67" t="s">
        <v>1784</v>
      </c>
    </row>
    <row r="1580" spans="1:4" x14ac:dyDescent="0.25">
      <c r="A1580" s="91" t="s">
        <v>3260</v>
      </c>
      <c r="B1580" s="67" t="s">
        <v>1427</v>
      </c>
      <c r="C1580" s="74">
        <f>48.64*0.8*0.95</f>
        <v>36.966400000000007</v>
      </c>
      <c r="D1580" s="67" t="s">
        <v>1784</v>
      </c>
    </row>
    <row r="1581" spans="1:4" x14ac:dyDescent="0.25">
      <c r="A1581" s="91" t="s">
        <v>3261</v>
      </c>
      <c r="B1581" s="67" t="s">
        <v>1428</v>
      </c>
      <c r="C1581" s="74">
        <f>58*0.8*0.95</f>
        <v>44.080000000000005</v>
      </c>
      <c r="D1581" s="67" t="s">
        <v>1784</v>
      </c>
    </row>
    <row r="1582" spans="1:4" x14ac:dyDescent="0.25">
      <c r="A1582" s="91" t="s">
        <v>3262</v>
      </c>
      <c r="B1582" s="67" t="s">
        <v>1429</v>
      </c>
      <c r="C1582" s="74">
        <f>58*0.8*0.95</f>
        <v>44.080000000000005</v>
      </c>
      <c r="D1582" s="67" t="s">
        <v>1784</v>
      </c>
    </row>
    <row r="1583" spans="1:4" x14ac:dyDescent="0.25">
      <c r="A1583" s="91" t="s">
        <v>3263</v>
      </c>
      <c r="B1583" s="67" t="s">
        <v>1430</v>
      </c>
      <c r="C1583" s="74">
        <f>65.48*0.8*0.95</f>
        <v>49.764800000000008</v>
      </c>
      <c r="D1583" s="67" t="s">
        <v>1784</v>
      </c>
    </row>
    <row r="1584" spans="1:4" ht="15.75" x14ac:dyDescent="0.25">
      <c r="A1584" s="94" t="s">
        <v>2166</v>
      </c>
      <c r="B1584" s="67">
        <v>2222</v>
      </c>
      <c r="C1584" s="75">
        <v>2271</v>
      </c>
      <c r="D1584" s="67" t="s">
        <v>1784</v>
      </c>
    </row>
    <row r="1585" spans="1:4" ht="15.75" x14ac:dyDescent="0.25">
      <c r="A1585" s="94" t="s">
        <v>2395</v>
      </c>
      <c r="B1585" s="67">
        <v>2746</v>
      </c>
      <c r="C1585" s="75">
        <v>3450</v>
      </c>
      <c r="D1585" s="67" t="s">
        <v>1784</v>
      </c>
    </row>
    <row r="1586" spans="1:4" ht="15.75" x14ac:dyDescent="0.25">
      <c r="A1586" s="94" t="s">
        <v>2396</v>
      </c>
      <c r="B1586" s="67">
        <v>2665</v>
      </c>
      <c r="C1586" s="75">
        <v>6997</v>
      </c>
      <c r="D1586" s="67" t="s">
        <v>1784</v>
      </c>
    </row>
    <row r="1587" spans="1:4" ht="15.75" x14ac:dyDescent="0.25">
      <c r="A1587" s="94" t="s">
        <v>2397</v>
      </c>
      <c r="B1587" s="67">
        <v>2668</v>
      </c>
      <c r="C1587" s="75">
        <v>1534</v>
      </c>
      <c r="D1587" s="67" t="s">
        <v>1784</v>
      </c>
    </row>
    <row r="1588" spans="1:4" ht="15.75" x14ac:dyDescent="0.25">
      <c r="A1588" s="94" t="s">
        <v>2398</v>
      </c>
      <c r="B1588" s="67">
        <v>2655</v>
      </c>
      <c r="C1588" s="75">
        <v>5336</v>
      </c>
      <c r="D1588" s="67" t="s">
        <v>1784</v>
      </c>
    </row>
    <row r="1589" spans="1:4" ht="15.75" x14ac:dyDescent="0.25">
      <c r="A1589" s="94" t="s">
        <v>2062</v>
      </c>
      <c r="B1589" s="67">
        <v>2967</v>
      </c>
      <c r="C1589" s="75">
        <v>1920</v>
      </c>
      <c r="D1589" s="67" t="s">
        <v>1784</v>
      </c>
    </row>
    <row r="1590" spans="1:4" ht="15.75" x14ac:dyDescent="0.25">
      <c r="A1590" s="94" t="s">
        <v>2063</v>
      </c>
      <c r="B1590" s="67">
        <v>2968</v>
      </c>
      <c r="C1590" s="75">
        <v>3705</v>
      </c>
      <c r="D1590" s="67" t="s">
        <v>1784</v>
      </c>
    </row>
    <row r="1591" spans="1:4" ht="15.75" x14ac:dyDescent="0.25">
      <c r="A1591" s="94" t="s">
        <v>2167</v>
      </c>
      <c r="B1591" s="67">
        <v>2163</v>
      </c>
      <c r="C1591" s="75">
        <v>2694</v>
      </c>
      <c r="D1591" s="67" t="s">
        <v>1784</v>
      </c>
    </row>
    <row r="1592" spans="1:4" ht="15.75" x14ac:dyDescent="0.25">
      <c r="A1592" s="94" t="s">
        <v>2168</v>
      </c>
      <c r="B1592" s="67">
        <v>1725</v>
      </c>
      <c r="C1592" s="75">
        <v>3855</v>
      </c>
      <c r="D1592" s="67" t="s">
        <v>1784</v>
      </c>
    </row>
    <row r="1593" spans="1:4" ht="15.75" x14ac:dyDescent="0.25">
      <c r="A1593" s="94" t="s">
        <v>2169</v>
      </c>
      <c r="B1593" s="67">
        <v>938</v>
      </c>
      <c r="C1593" s="75">
        <v>2311</v>
      </c>
      <c r="D1593" s="67" t="s">
        <v>1784</v>
      </c>
    </row>
    <row r="1594" spans="1:4" ht="15.75" x14ac:dyDescent="0.25">
      <c r="A1594" s="94" t="s">
        <v>2170</v>
      </c>
      <c r="B1594" s="67">
        <v>1523</v>
      </c>
      <c r="C1594" s="75">
        <v>6276</v>
      </c>
      <c r="D1594" s="67" t="s">
        <v>1784</v>
      </c>
    </row>
    <row r="1595" spans="1:4" ht="15.75" x14ac:dyDescent="0.25">
      <c r="A1595" s="94" t="s">
        <v>2329</v>
      </c>
      <c r="B1595" s="67">
        <v>4783</v>
      </c>
      <c r="C1595" s="75">
        <v>6583</v>
      </c>
      <c r="D1595" s="67" t="s">
        <v>1784</v>
      </c>
    </row>
    <row r="1596" spans="1:4" ht="15.75" x14ac:dyDescent="0.25">
      <c r="A1596" s="94" t="s">
        <v>1963</v>
      </c>
      <c r="B1596" s="67">
        <v>2754</v>
      </c>
      <c r="C1596" s="75">
        <v>2620</v>
      </c>
      <c r="D1596" s="67" t="s">
        <v>1784</v>
      </c>
    </row>
    <row r="1597" spans="1:4" ht="15.75" x14ac:dyDescent="0.25">
      <c r="A1597" s="94" t="s">
        <v>1964</v>
      </c>
      <c r="B1597" s="67">
        <v>2769</v>
      </c>
      <c r="C1597" s="75">
        <v>2620</v>
      </c>
      <c r="D1597" s="67" t="s">
        <v>1784</v>
      </c>
    </row>
    <row r="1598" spans="1:4" ht="15.75" x14ac:dyDescent="0.25">
      <c r="A1598" s="94" t="s">
        <v>1965</v>
      </c>
      <c r="B1598" s="67">
        <v>2755</v>
      </c>
      <c r="C1598" s="75">
        <v>3538</v>
      </c>
      <c r="D1598" s="67" t="s">
        <v>1784</v>
      </c>
    </row>
    <row r="1599" spans="1:4" ht="15.75" x14ac:dyDescent="0.25">
      <c r="A1599" s="94" t="s">
        <v>1966</v>
      </c>
      <c r="B1599" s="67">
        <v>2778</v>
      </c>
      <c r="C1599" s="75">
        <v>4062</v>
      </c>
      <c r="D1599" s="67" t="s">
        <v>1784</v>
      </c>
    </row>
    <row r="1600" spans="1:4" ht="15.75" x14ac:dyDescent="0.25">
      <c r="A1600" s="94" t="s">
        <v>2064</v>
      </c>
      <c r="B1600" s="67">
        <v>4327</v>
      </c>
      <c r="C1600" s="75">
        <v>2470</v>
      </c>
      <c r="D1600" s="67" t="s">
        <v>1784</v>
      </c>
    </row>
    <row r="1601" spans="1:4" ht="15.75" x14ac:dyDescent="0.25">
      <c r="A1601" s="94" t="s">
        <v>2065</v>
      </c>
      <c r="B1601" s="67">
        <v>3005</v>
      </c>
      <c r="C1601" s="75">
        <v>2762</v>
      </c>
      <c r="D1601" s="67" t="s">
        <v>1784</v>
      </c>
    </row>
    <row r="1602" spans="1:4" ht="15.75" x14ac:dyDescent="0.25">
      <c r="A1602" s="94" t="s">
        <v>2066</v>
      </c>
      <c r="B1602" s="67">
        <v>3190</v>
      </c>
      <c r="C1602" s="75">
        <v>3970</v>
      </c>
      <c r="D1602" s="67" t="s">
        <v>1784</v>
      </c>
    </row>
    <row r="1603" spans="1:4" ht="15.75" x14ac:dyDescent="0.25">
      <c r="A1603" s="94" t="s">
        <v>2171</v>
      </c>
      <c r="B1603" s="67">
        <v>1138</v>
      </c>
      <c r="C1603" s="75">
        <v>4322</v>
      </c>
      <c r="D1603" s="67" t="s">
        <v>1784</v>
      </c>
    </row>
    <row r="1604" spans="1:4" ht="15.75" x14ac:dyDescent="0.25">
      <c r="A1604" s="94" t="s">
        <v>2456</v>
      </c>
      <c r="B1604" s="67">
        <v>4993</v>
      </c>
      <c r="C1604" s="75">
        <v>6449</v>
      </c>
      <c r="D1604" s="67" t="s">
        <v>1784</v>
      </c>
    </row>
    <row r="1605" spans="1:4" ht="15.75" x14ac:dyDescent="0.25">
      <c r="A1605" s="94" t="s">
        <v>2172</v>
      </c>
      <c r="B1605" s="67">
        <v>1054</v>
      </c>
      <c r="C1605" s="75">
        <v>5123</v>
      </c>
      <c r="D1605" s="67" t="s">
        <v>1784</v>
      </c>
    </row>
    <row r="1606" spans="1:4" ht="15.75" x14ac:dyDescent="0.25">
      <c r="A1606" s="94" t="s">
        <v>2173</v>
      </c>
      <c r="B1606" s="67">
        <v>1043</v>
      </c>
      <c r="C1606" s="75">
        <v>2445</v>
      </c>
      <c r="D1606" s="67" t="s">
        <v>1784</v>
      </c>
    </row>
    <row r="1607" spans="1:4" ht="15.75" x14ac:dyDescent="0.25">
      <c r="A1607" s="94" t="s">
        <v>2174</v>
      </c>
      <c r="B1607" s="67">
        <v>1055</v>
      </c>
      <c r="C1607" s="75">
        <v>2608</v>
      </c>
      <c r="D1607" s="67" t="s">
        <v>1784</v>
      </c>
    </row>
    <row r="1608" spans="1:4" ht="15.75" x14ac:dyDescent="0.25">
      <c r="A1608" s="94" t="s">
        <v>2175</v>
      </c>
      <c r="B1608" s="67">
        <v>947</v>
      </c>
      <c r="C1608" s="75">
        <v>4265</v>
      </c>
      <c r="D1608" s="67" t="s">
        <v>1784</v>
      </c>
    </row>
    <row r="1609" spans="1:4" ht="15.75" x14ac:dyDescent="0.25">
      <c r="A1609" s="94" t="s">
        <v>2176</v>
      </c>
      <c r="B1609" s="67">
        <v>937</v>
      </c>
      <c r="C1609" s="75">
        <v>3346</v>
      </c>
      <c r="D1609" s="67" t="s">
        <v>1784</v>
      </c>
    </row>
    <row r="1610" spans="1:4" ht="15.75" x14ac:dyDescent="0.25">
      <c r="A1610" s="94" t="s">
        <v>2457</v>
      </c>
      <c r="B1610" s="67">
        <v>4934</v>
      </c>
      <c r="C1610" s="75">
        <v>12352</v>
      </c>
      <c r="D1610" s="67" t="s">
        <v>1784</v>
      </c>
    </row>
    <row r="1611" spans="1:4" ht="15.75" x14ac:dyDescent="0.25">
      <c r="A1611" s="94" t="s">
        <v>2177</v>
      </c>
      <c r="B1611" s="67">
        <v>962</v>
      </c>
      <c r="C1611" s="75">
        <v>2620</v>
      </c>
      <c r="D1611" s="67" t="s">
        <v>1784</v>
      </c>
    </row>
    <row r="1612" spans="1:4" ht="15.75" x14ac:dyDescent="0.25">
      <c r="A1612" s="94" t="s">
        <v>2178</v>
      </c>
      <c r="B1612" s="67">
        <v>3710</v>
      </c>
      <c r="C1612" s="75">
        <v>2046</v>
      </c>
      <c r="D1612" s="67" t="s">
        <v>1784</v>
      </c>
    </row>
    <row r="1613" spans="1:4" ht="15.75" x14ac:dyDescent="0.25">
      <c r="A1613" s="94" t="s">
        <v>2179</v>
      </c>
      <c r="B1613" s="67">
        <v>1129</v>
      </c>
      <c r="C1613" s="75">
        <v>2747</v>
      </c>
      <c r="D1613" s="67" t="s">
        <v>1784</v>
      </c>
    </row>
    <row r="1614" spans="1:4" ht="15.75" x14ac:dyDescent="0.25">
      <c r="A1614" s="94" t="s">
        <v>3349</v>
      </c>
      <c r="B1614" s="67" t="s">
        <v>1916</v>
      </c>
      <c r="C1614" s="75">
        <v>840</v>
      </c>
      <c r="D1614" s="67" t="s">
        <v>1784</v>
      </c>
    </row>
    <row r="1615" spans="1:4" ht="15.75" x14ac:dyDescent="0.25">
      <c r="A1615" s="94" t="s">
        <v>1967</v>
      </c>
      <c r="B1615" s="67">
        <v>4182</v>
      </c>
      <c r="C1615" s="75">
        <v>6925</v>
      </c>
      <c r="D1615" s="67" t="s">
        <v>1784</v>
      </c>
    </row>
    <row r="1616" spans="1:4" ht="15.75" x14ac:dyDescent="0.25">
      <c r="A1616" s="94" t="s">
        <v>1968</v>
      </c>
      <c r="B1616" s="67">
        <v>3214</v>
      </c>
      <c r="C1616" s="75">
        <v>1069</v>
      </c>
      <c r="D1616" s="67" t="s">
        <v>1784</v>
      </c>
    </row>
    <row r="1617" spans="1:4" ht="15.75" x14ac:dyDescent="0.25">
      <c r="A1617" s="94" t="s">
        <v>1969</v>
      </c>
      <c r="B1617" s="67">
        <v>3213</v>
      </c>
      <c r="C1617" s="75">
        <v>1723</v>
      </c>
      <c r="D1617" s="67" t="s">
        <v>1784</v>
      </c>
    </row>
    <row r="1618" spans="1:4" ht="15.75" x14ac:dyDescent="0.25">
      <c r="A1618" s="94" t="s">
        <v>1970</v>
      </c>
      <c r="B1618" s="67">
        <v>4518</v>
      </c>
      <c r="C1618" s="75">
        <v>2397</v>
      </c>
      <c r="D1618" s="67" t="s">
        <v>1784</v>
      </c>
    </row>
    <row r="1619" spans="1:4" ht="15.75" x14ac:dyDescent="0.25">
      <c r="A1619" s="94" t="s">
        <v>1971</v>
      </c>
      <c r="B1619" s="67">
        <v>4555</v>
      </c>
      <c r="C1619" s="75">
        <v>3968</v>
      </c>
      <c r="D1619" s="67" t="s">
        <v>1784</v>
      </c>
    </row>
    <row r="1620" spans="1:4" ht="15.75" x14ac:dyDescent="0.25">
      <c r="A1620" s="94" t="s">
        <v>1972</v>
      </c>
      <c r="B1620" s="67">
        <v>4209</v>
      </c>
      <c r="C1620" s="75">
        <v>1926</v>
      </c>
      <c r="D1620" s="67" t="s">
        <v>1784</v>
      </c>
    </row>
    <row r="1621" spans="1:4" ht="15.75" x14ac:dyDescent="0.25">
      <c r="A1621" s="94" t="s">
        <v>2067</v>
      </c>
      <c r="B1621" s="67">
        <v>1327</v>
      </c>
      <c r="C1621" s="75">
        <v>2978</v>
      </c>
      <c r="D1621" s="67" t="s">
        <v>1784</v>
      </c>
    </row>
    <row r="1622" spans="1:4" ht="15.75" x14ac:dyDescent="0.25">
      <c r="A1622" s="94" t="s">
        <v>2180</v>
      </c>
      <c r="B1622" s="67">
        <v>5342</v>
      </c>
      <c r="C1622" s="75">
        <v>5705</v>
      </c>
      <c r="D1622" s="67" t="s">
        <v>1784</v>
      </c>
    </row>
    <row r="1623" spans="1:4" x14ac:dyDescent="0.25">
      <c r="A1623" s="91" t="s">
        <v>2975</v>
      </c>
      <c r="B1623" s="67" t="s">
        <v>1431</v>
      </c>
      <c r="C1623" s="74">
        <f>2.75*0.8*0.95</f>
        <v>2.09</v>
      </c>
      <c r="D1623" s="67" t="s">
        <v>1785</v>
      </c>
    </row>
    <row r="1624" spans="1:4" x14ac:dyDescent="0.25">
      <c r="A1624" s="91" t="s">
        <v>2975</v>
      </c>
      <c r="B1624" s="67" t="s">
        <v>1431</v>
      </c>
      <c r="C1624" s="74">
        <f>2.75*0.8*0.95</f>
        <v>2.09</v>
      </c>
      <c r="D1624" s="67" t="s">
        <v>1785</v>
      </c>
    </row>
    <row r="1625" spans="1:4" x14ac:dyDescent="0.25">
      <c r="A1625" s="92" t="s">
        <v>3002</v>
      </c>
      <c r="B1625" s="67" t="s">
        <v>1432</v>
      </c>
      <c r="C1625" s="74">
        <f>74.55*0.8*0.95</f>
        <v>56.658000000000001</v>
      </c>
      <c r="D1625" s="67" t="s">
        <v>1784</v>
      </c>
    </row>
    <row r="1626" spans="1:4" x14ac:dyDescent="0.25">
      <c r="A1626" s="92" t="s">
        <v>3020</v>
      </c>
      <c r="B1626" s="67" t="s">
        <v>1433</v>
      </c>
      <c r="C1626" s="74">
        <f>1401.4*0.8*0.95</f>
        <v>1065.0640000000001</v>
      </c>
      <c r="D1626" s="67" t="s">
        <v>1784</v>
      </c>
    </row>
    <row r="1627" spans="1:4" x14ac:dyDescent="0.25">
      <c r="A1627" s="92" t="s">
        <v>3021</v>
      </c>
      <c r="B1627" s="67" t="s">
        <v>1434</v>
      </c>
      <c r="C1627" s="74">
        <f>2220.4*0.8*0.95</f>
        <v>1687.5040000000001</v>
      </c>
      <c r="D1627" s="67" t="s">
        <v>1784</v>
      </c>
    </row>
    <row r="1628" spans="1:4" x14ac:dyDescent="0.25">
      <c r="A1628" s="91" t="s">
        <v>3180</v>
      </c>
      <c r="B1628" s="67" t="s">
        <v>1435</v>
      </c>
      <c r="C1628" s="74">
        <f>130.9*0.8*0.95</f>
        <v>99.484000000000009</v>
      </c>
      <c r="D1628" s="67" t="s">
        <v>1784</v>
      </c>
    </row>
    <row r="1629" spans="1:4" x14ac:dyDescent="0.25">
      <c r="A1629" s="92" t="s">
        <v>2987</v>
      </c>
      <c r="B1629" s="67" t="s">
        <v>1436</v>
      </c>
      <c r="C1629" s="74">
        <f>1.85*0.8*0.95</f>
        <v>1.4060000000000001</v>
      </c>
      <c r="D1629" s="67" t="s">
        <v>1785</v>
      </c>
    </row>
    <row r="1630" spans="1:4" x14ac:dyDescent="0.25">
      <c r="A1630" s="92" t="s">
        <v>2993</v>
      </c>
      <c r="B1630" s="67" t="s">
        <v>1437</v>
      </c>
      <c r="C1630" s="74">
        <f>21.91*0.8*0.95</f>
        <v>16.651600000000002</v>
      </c>
      <c r="D1630" s="67" t="s">
        <v>1785</v>
      </c>
    </row>
    <row r="1631" spans="1:4" x14ac:dyDescent="0.25">
      <c r="A1631" s="91" t="s">
        <v>3201</v>
      </c>
      <c r="B1631" s="67" t="s">
        <v>1438</v>
      </c>
      <c r="C1631" s="74">
        <f>323.54*0.8*0.95</f>
        <v>245.89040000000003</v>
      </c>
      <c r="D1631" s="67" t="s">
        <v>1784</v>
      </c>
    </row>
    <row r="1632" spans="1:4" ht="15.75" x14ac:dyDescent="0.25">
      <c r="A1632" s="94" t="s">
        <v>3350</v>
      </c>
      <c r="B1632" s="67" t="s">
        <v>1917</v>
      </c>
      <c r="C1632" s="75">
        <v>110</v>
      </c>
      <c r="D1632" s="67" t="s">
        <v>1784</v>
      </c>
    </row>
    <row r="1633" spans="1:4" ht="15.75" x14ac:dyDescent="0.25">
      <c r="A1633" s="94" t="s">
        <v>2418</v>
      </c>
      <c r="B1633" s="67">
        <v>3132</v>
      </c>
      <c r="C1633" s="75">
        <v>5041</v>
      </c>
      <c r="D1633" s="67" t="s">
        <v>1784</v>
      </c>
    </row>
    <row r="1634" spans="1:4" ht="15.75" x14ac:dyDescent="0.25">
      <c r="A1634" s="94" t="s">
        <v>2426</v>
      </c>
      <c r="B1634" s="67">
        <v>5427</v>
      </c>
      <c r="C1634" s="75">
        <v>10478</v>
      </c>
      <c r="D1634" s="67" t="s">
        <v>1784</v>
      </c>
    </row>
    <row r="1635" spans="1:4" ht="15.75" x14ac:dyDescent="0.25">
      <c r="A1635" s="94" t="s">
        <v>2427</v>
      </c>
      <c r="B1635" s="67">
        <v>5395</v>
      </c>
      <c r="C1635" s="75">
        <v>6216</v>
      </c>
      <c r="D1635" s="67" t="s">
        <v>1784</v>
      </c>
    </row>
    <row r="1636" spans="1:4" ht="15.75" x14ac:dyDescent="0.25">
      <c r="A1636" s="94" t="s">
        <v>2428</v>
      </c>
      <c r="B1636" s="67">
        <v>5426</v>
      </c>
      <c r="C1636" s="75">
        <v>4897</v>
      </c>
      <c r="D1636" s="67" t="s">
        <v>1784</v>
      </c>
    </row>
    <row r="1637" spans="1:4" ht="15.75" x14ac:dyDescent="0.25">
      <c r="A1637" s="94" t="s">
        <v>2429</v>
      </c>
      <c r="B1637" s="67">
        <v>5425</v>
      </c>
      <c r="C1637" s="75">
        <v>4985</v>
      </c>
      <c r="D1637" s="67" t="s">
        <v>1784</v>
      </c>
    </row>
    <row r="1638" spans="1:4" ht="15.75" x14ac:dyDescent="0.25">
      <c r="A1638" s="94" t="s">
        <v>2430</v>
      </c>
      <c r="B1638" s="67">
        <v>5428</v>
      </c>
      <c r="C1638" s="75">
        <v>8075</v>
      </c>
      <c r="D1638" s="67" t="s">
        <v>1784</v>
      </c>
    </row>
    <row r="1639" spans="1:4" ht="15.75" x14ac:dyDescent="0.25">
      <c r="A1639" s="94" t="s">
        <v>2431</v>
      </c>
      <c r="B1639" s="67">
        <v>3261</v>
      </c>
      <c r="C1639" s="75">
        <v>5881</v>
      </c>
      <c r="D1639" s="67" t="s">
        <v>1784</v>
      </c>
    </row>
    <row r="1640" spans="1:4" ht="15.75" x14ac:dyDescent="0.25">
      <c r="A1640" s="94" t="s">
        <v>2432</v>
      </c>
      <c r="B1640" s="67">
        <v>5393</v>
      </c>
      <c r="C1640" s="75">
        <v>3034</v>
      </c>
      <c r="D1640" s="67" t="s">
        <v>1784</v>
      </c>
    </row>
    <row r="1641" spans="1:4" ht="15.75" x14ac:dyDescent="0.25">
      <c r="A1641" s="94" t="s">
        <v>2433</v>
      </c>
      <c r="B1641" s="67">
        <v>3264</v>
      </c>
      <c r="C1641" s="75">
        <v>4920</v>
      </c>
      <c r="D1641" s="67" t="s">
        <v>1784</v>
      </c>
    </row>
    <row r="1642" spans="1:4" ht="15.75" x14ac:dyDescent="0.25">
      <c r="A1642" s="94" t="s">
        <v>2458</v>
      </c>
      <c r="B1642" s="67">
        <v>4981</v>
      </c>
      <c r="C1642" s="75">
        <v>2253</v>
      </c>
      <c r="D1642" s="67" t="s">
        <v>1784</v>
      </c>
    </row>
    <row r="1643" spans="1:4" ht="15.75" x14ac:dyDescent="0.25">
      <c r="A1643" s="94" t="s">
        <v>2461</v>
      </c>
      <c r="B1643" s="67">
        <v>4656</v>
      </c>
      <c r="C1643" s="75">
        <v>4236</v>
      </c>
      <c r="D1643" s="67" t="s">
        <v>1784</v>
      </c>
    </row>
    <row r="1644" spans="1:4" ht="15.75" x14ac:dyDescent="0.25">
      <c r="A1644" s="94" t="s">
        <v>2462</v>
      </c>
      <c r="B1644" s="67">
        <v>4984</v>
      </c>
      <c r="C1644" s="75">
        <v>4990</v>
      </c>
      <c r="D1644" s="67" t="s">
        <v>1784</v>
      </c>
    </row>
    <row r="1645" spans="1:4" ht="15.75" x14ac:dyDescent="0.25">
      <c r="A1645" s="94" t="s">
        <v>2459</v>
      </c>
      <c r="B1645" s="67">
        <v>2023</v>
      </c>
      <c r="C1645" s="75">
        <v>6218</v>
      </c>
      <c r="D1645" s="67" t="s">
        <v>1784</v>
      </c>
    </row>
    <row r="1646" spans="1:4" ht="15.75" x14ac:dyDescent="0.25">
      <c r="A1646" s="94" t="s">
        <v>2463</v>
      </c>
      <c r="B1646" s="67">
        <v>4992</v>
      </c>
      <c r="C1646" s="75">
        <v>40571</v>
      </c>
      <c r="D1646" s="67" t="s">
        <v>1784</v>
      </c>
    </row>
    <row r="1647" spans="1:4" ht="15.75" x14ac:dyDescent="0.25">
      <c r="A1647" s="94" t="s">
        <v>2460</v>
      </c>
      <c r="B1647" s="67">
        <v>2012</v>
      </c>
      <c r="C1647" s="75">
        <v>4097</v>
      </c>
      <c r="D1647" s="67" t="s">
        <v>1784</v>
      </c>
    </row>
    <row r="1648" spans="1:4" ht="15.75" x14ac:dyDescent="0.25">
      <c r="A1648" s="94" t="s">
        <v>2464</v>
      </c>
      <c r="B1648" s="67">
        <v>4511</v>
      </c>
      <c r="C1648" s="75">
        <v>18735</v>
      </c>
      <c r="D1648" s="67" t="s">
        <v>1784</v>
      </c>
    </row>
    <row r="1649" spans="1:4" ht="15.75" x14ac:dyDescent="0.25">
      <c r="A1649" s="94" t="s">
        <v>2465</v>
      </c>
      <c r="B1649" s="67">
        <v>5402</v>
      </c>
      <c r="C1649" s="75">
        <v>4263</v>
      </c>
      <c r="D1649" s="67" t="s">
        <v>1784</v>
      </c>
    </row>
    <row r="1650" spans="1:4" ht="15.75" x14ac:dyDescent="0.25">
      <c r="A1650" s="94" t="s">
        <v>2466</v>
      </c>
      <c r="B1650" s="67">
        <v>5401</v>
      </c>
      <c r="C1650" s="75">
        <v>6282</v>
      </c>
      <c r="D1650" s="67" t="s">
        <v>1784</v>
      </c>
    </row>
    <row r="1651" spans="1:4" ht="15.75" x14ac:dyDescent="0.25">
      <c r="A1651" s="94" t="s">
        <v>2467</v>
      </c>
      <c r="B1651" s="67">
        <v>3712</v>
      </c>
      <c r="C1651" s="75">
        <v>1654</v>
      </c>
      <c r="D1651" s="67" t="s">
        <v>1784</v>
      </c>
    </row>
    <row r="1652" spans="1:4" ht="15.75" x14ac:dyDescent="0.25">
      <c r="A1652" s="94" t="s">
        <v>2468</v>
      </c>
      <c r="B1652" s="67">
        <v>2027</v>
      </c>
      <c r="C1652" s="75">
        <v>4252</v>
      </c>
      <c r="D1652" s="67" t="s">
        <v>1784</v>
      </c>
    </row>
    <row r="1653" spans="1:4" x14ac:dyDescent="0.25">
      <c r="A1653" s="91" t="s">
        <v>2906</v>
      </c>
      <c r="B1653" s="67" t="s">
        <v>1439</v>
      </c>
      <c r="C1653" s="74">
        <f>160.3*0.8*0.95</f>
        <v>121.828</v>
      </c>
      <c r="D1653" s="67" t="s">
        <v>1784</v>
      </c>
    </row>
    <row r="1654" spans="1:4" x14ac:dyDescent="0.25">
      <c r="A1654" s="92" t="s">
        <v>2907</v>
      </c>
      <c r="B1654" s="67" t="s">
        <v>1440</v>
      </c>
      <c r="C1654" s="74">
        <f>183.05*0.8*0.95</f>
        <v>139.11800000000002</v>
      </c>
      <c r="D1654" s="67" t="s">
        <v>1784</v>
      </c>
    </row>
    <row r="1655" spans="1:4" x14ac:dyDescent="0.25">
      <c r="A1655" s="91" t="s">
        <v>2896</v>
      </c>
      <c r="B1655" s="67" t="s">
        <v>1441</v>
      </c>
      <c r="C1655" s="74">
        <f>17.92*0.8*0.95</f>
        <v>13.619200000000001</v>
      </c>
      <c r="D1655" s="67" t="s">
        <v>1785</v>
      </c>
    </row>
    <row r="1656" spans="1:4" x14ac:dyDescent="0.25">
      <c r="A1656" s="91" t="s">
        <v>2897</v>
      </c>
      <c r="B1656" s="67" t="s">
        <v>1442</v>
      </c>
      <c r="C1656" s="74">
        <f>17.92*0.8*0.95</f>
        <v>13.619200000000001</v>
      </c>
      <c r="D1656" s="67" t="s">
        <v>1785</v>
      </c>
    </row>
    <row r="1657" spans="1:4" x14ac:dyDescent="0.25">
      <c r="A1657" s="91" t="s">
        <v>3117</v>
      </c>
      <c r="B1657" s="67" t="s">
        <v>1443</v>
      </c>
      <c r="C1657" s="74">
        <f>80.18*0.8*0.95</f>
        <v>60.936800000000005</v>
      </c>
      <c r="D1657" s="67" t="s">
        <v>1785</v>
      </c>
    </row>
    <row r="1658" spans="1:4" x14ac:dyDescent="0.25">
      <c r="A1658" s="93" t="s">
        <v>2883</v>
      </c>
      <c r="B1658" s="67" t="s">
        <v>1444</v>
      </c>
      <c r="C1658" s="74">
        <f>1178.45*0.8*0.95</f>
        <v>895.62200000000007</v>
      </c>
      <c r="D1658" s="67" t="s">
        <v>1784</v>
      </c>
    </row>
    <row r="1659" spans="1:4" x14ac:dyDescent="0.25">
      <c r="A1659" s="92" t="s">
        <v>2885</v>
      </c>
      <c r="B1659" s="67" t="s">
        <v>1445</v>
      </c>
      <c r="C1659" s="74">
        <f>1202.5*0.8*0.95</f>
        <v>913.9</v>
      </c>
      <c r="D1659" s="67" t="s">
        <v>1784</v>
      </c>
    </row>
    <row r="1660" spans="1:4" x14ac:dyDescent="0.25">
      <c r="A1660" s="93" t="s">
        <v>2884</v>
      </c>
      <c r="B1660" s="67" t="s">
        <v>1446</v>
      </c>
      <c r="C1660" s="74">
        <f>1111.11*0.8*0.95</f>
        <v>844.44359999999983</v>
      </c>
      <c r="D1660" s="67" t="s">
        <v>1784</v>
      </c>
    </row>
    <row r="1661" spans="1:4" x14ac:dyDescent="0.25">
      <c r="A1661" s="91" t="s">
        <v>2950</v>
      </c>
      <c r="B1661" s="67" t="s">
        <v>1447</v>
      </c>
      <c r="C1661" s="74">
        <f>1265.17*0.8*0.95</f>
        <v>961.52920000000006</v>
      </c>
      <c r="D1661" s="67" t="s">
        <v>1784</v>
      </c>
    </row>
    <row r="1662" spans="1:4" x14ac:dyDescent="0.25">
      <c r="A1662" s="92" t="s">
        <v>2949</v>
      </c>
      <c r="B1662" s="67" t="s">
        <v>1448</v>
      </c>
      <c r="C1662" s="74">
        <f>1114.09*0.8*0.95</f>
        <v>846.70839999999987</v>
      </c>
      <c r="D1662" s="67" t="s">
        <v>1784</v>
      </c>
    </row>
    <row r="1663" spans="1:4" x14ac:dyDescent="0.25">
      <c r="A1663" s="92" t="s">
        <v>2948</v>
      </c>
      <c r="B1663" s="67" t="s">
        <v>1449</v>
      </c>
      <c r="C1663" s="74">
        <f>1116.49*0.8*0.95</f>
        <v>848.53239999999994</v>
      </c>
      <c r="D1663" s="67" t="s">
        <v>1784</v>
      </c>
    </row>
    <row r="1664" spans="1:4" x14ac:dyDescent="0.25">
      <c r="A1664" s="92" t="s">
        <v>2956</v>
      </c>
      <c r="B1664" s="67" t="s">
        <v>1450</v>
      </c>
      <c r="C1664" s="74">
        <f>600.6*0.8*0.95</f>
        <v>456.45600000000002</v>
      </c>
      <c r="D1664" s="67" t="s">
        <v>1784</v>
      </c>
    </row>
    <row r="1665" spans="1:4" x14ac:dyDescent="0.25">
      <c r="A1665" s="92" t="s">
        <v>2955</v>
      </c>
      <c r="B1665" s="67" t="s">
        <v>1451</v>
      </c>
      <c r="C1665" s="74">
        <f>600.6*0.8*0.95</f>
        <v>456.45600000000002</v>
      </c>
      <c r="D1665" s="67" t="s">
        <v>1784</v>
      </c>
    </row>
    <row r="1666" spans="1:4" x14ac:dyDescent="0.25">
      <c r="A1666" s="91" t="s">
        <v>2905</v>
      </c>
      <c r="B1666" s="67" t="s">
        <v>1452</v>
      </c>
      <c r="C1666" s="74">
        <f>170.1*0.8*0.95</f>
        <v>129.27600000000001</v>
      </c>
      <c r="D1666" s="67" t="s">
        <v>1784</v>
      </c>
    </row>
    <row r="1667" spans="1:4" x14ac:dyDescent="0.25">
      <c r="A1667" s="91" t="s">
        <v>2909</v>
      </c>
      <c r="B1667" s="67" t="s">
        <v>1453</v>
      </c>
      <c r="C1667" s="74">
        <f>160.3*0.8*0.95</f>
        <v>121.828</v>
      </c>
      <c r="D1667" s="67" t="s">
        <v>1784</v>
      </c>
    </row>
    <row r="1668" spans="1:4" x14ac:dyDescent="0.25">
      <c r="A1668" s="92" t="s">
        <v>2910</v>
      </c>
      <c r="B1668" s="67" t="s">
        <v>1454</v>
      </c>
      <c r="C1668" s="74">
        <f>183.05*0.8*0.95</f>
        <v>139.11800000000002</v>
      </c>
      <c r="D1668" s="67" t="s">
        <v>1784</v>
      </c>
    </row>
    <row r="1669" spans="1:4" x14ac:dyDescent="0.25">
      <c r="A1669" s="91" t="s">
        <v>2908</v>
      </c>
      <c r="B1669" s="67" t="s">
        <v>1455</v>
      </c>
      <c r="C1669" s="74">
        <f>170.1*0.8*0.95</f>
        <v>129.27600000000001</v>
      </c>
      <c r="D1669" s="67" t="s">
        <v>1784</v>
      </c>
    </row>
    <row r="1670" spans="1:4" x14ac:dyDescent="0.25">
      <c r="A1670" s="92" t="s">
        <v>2951</v>
      </c>
      <c r="B1670" s="67" t="s">
        <v>1456</v>
      </c>
      <c r="C1670" s="74">
        <f>714.35*0.8*0.95</f>
        <v>542.90599999999995</v>
      </c>
      <c r="D1670" s="67" t="s">
        <v>1784</v>
      </c>
    </row>
    <row r="1671" spans="1:4" x14ac:dyDescent="0.25">
      <c r="A1671" s="92" t="s">
        <v>2952</v>
      </c>
      <c r="B1671" s="67" t="s">
        <v>1457</v>
      </c>
      <c r="C1671" s="74">
        <f>714.35*0.8*0.95</f>
        <v>542.90599999999995</v>
      </c>
      <c r="D1671" s="67" t="s">
        <v>1784</v>
      </c>
    </row>
    <row r="1672" spans="1:4" x14ac:dyDescent="0.25">
      <c r="A1672" s="91" t="s">
        <v>2954</v>
      </c>
      <c r="B1672" s="67" t="s">
        <v>1458</v>
      </c>
      <c r="C1672" s="74">
        <f>1319.5*0.8*0.95</f>
        <v>1002.82</v>
      </c>
      <c r="D1672" s="67" t="s">
        <v>1784</v>
      </c>
    </row>
    <row r="1673" spans="1:4" x14ac:dyDescent="0.25">
      <c r="A1673" s="92" t="s">
        <v>2953</v>
      </c>
      <c r="B1673" s="67" t="s">
        <v>1459</v>
      </c>
      <c r="C1673" s="74">
        <f>1319.5*0.8*0.95</f>
        <v>1002.82</v>
      </c>
      <c r="D1673" s="67" t="s">
        <v>1784</v>
      </c>
    </row>
    <row r="1674" spans="1:4" x14ac:dyDescent="0.25">
      <c r="A1674" s="91" t="s">
        <v>2947</v>
      </c>
      <c r="B1674" s="67" t="s">
        <v>1460</v>
      </c>
      <c r="C1674" s="74">
        <f>1111.22*0.8*0.95</f>
        <v>844.52720000000011</v>
      </c>
      <c r="D1674" s="67" t="s">
        <v>1784</v>
      </c>
    </row>
    <row r="1675" spans="1:4" x14ac:dyDescent="0.25">
      <c r="A1675" s="92" t="s">
        <v>2946</v>
      </c>
      <c r="B1675" s="67" t="s">
        <v>1461</v>
      </c>
      <c r="C1675" s="74">
        <f>980.22*0.8*0.95</f>
        <v>744.96720000000005</v>
      </c>
      <c r="D1675" s="67" t="s">
        <v>1784</v>
      </c>
    </row>
    <row r="1676" spans="1:4" x14ac:dyDescent="0.25">
      <c r="A1676" s="91" t="s">
        <v>2889</v>
      </c>
      <c r="B1676" s="67" t="s">
        <v>1462</v>
      </c>
      <c r="C1676" s="74">
        <f>312.65*0.8*0.95</f>
        <v>237.614</v>
      </c>
      <c r="D1676" s="67" t="s">
        <v>1784</v>
      </c>
    </row>
    <row r="1677" spans="1:4" x14ac:dyDescent="0.25">
      <c r="A1677" s="91" t="s">
        <v>2891</v>
      </c>
      <c r="B1677" s="67" t="s">
        <v>1463</v>
      </c>
      <c r="C1677" s="74">
        <f>339.3*0.8*0.95</f>
        <v>257.86799999999999</v>
      </c>
      <c r="D1677" s="67" t="s">
        <v>1784</v>
      </c>
    </row>
    <row r="1678" spans="1:4" x14ac:dyDescent="0.25">
      <c r="A1678" s="91" t="s">
        <v>2890</v>
      </c>
      <c r="B1678" s="67" t="s">
        <v>1464</v>
      </c>
      <c r="C1678" s="74">
        <f>264.55*0.8*0.95</f>
        <v>201.05799999999999</v>
      </c>
      <c r="D1678" s="67" t="s">
        <v>1784</v>
      </c>
    </row>
    <row r="1679" spans="1:4" x14ac:dyDescent="0.25">
      <c r="A1679" s="92" t="s">
        <v>3017</v>
      </c>
      <c r="B1679" s="67" t="s">
        <v>1465</v>
      </c>
      <c r="C1679" s="74">
        <f>303.45*0.8*0.95</f>
        <v>230.62199999999999</v>
      </c>
      <c r="D1679" s="67" t="s">
        <v>1784</v>
      </c>
    </row>
    <row r="1680" spans="1:4" x14ac:dyDescent="0.25">
      <c r="A1680" s="92" t="s">
        <v>2945</v>
      </c>
      <c r="B1680" s="67" t="s">
        <v>1466</v>
      </c>
      <c r="C1680" s="74">
        <f>982.62*0.8*0.95</f>
        <v>746.7912</v>
      </c>
      <c r="D1680" s="67" t="s">
        <v>1784</v>
      </c>
    </row>
    <row r="1681" spans="1:4" x14ac:dyDescent="0.25">
      <c r="A1681" s="92" t="s">
        <v>2850</v>
      </c>
      <c r="B1681" s="67" t="s">
        <v>1467</v>
      </c>
      <c r="C1681" s="74">
        <f>1261.99*0.8*0.95</f>
        <v>959.11240000000009</v>
      </c>
      <c r="D1681" s="67" t="s">
        <v>1784</v>
      </c>
    </row>
    <row r="1682" spans="1:4" x14ac:dyDescent="0.25">
      <c r="A1682" s="92" t="s">
        <v>2849</v>
      </c>
      <c r="B1682" s="67" t="s">
        <v>1468</v>
      </c>
      <c r="C1682" s="74">
        <f>1228.43*0.8*0.95</f>
        <v>933.60680000000013</v>
      </c>
      <c r="D1682" s="67" t="s">
        <v>1784</v>
      </c>
    </row>
    <row r="1683" spans="1:4" x14ac:dyDescent="0.25">
      <c r="A1683" s="92" t="s">
        <v>2852</v>
      </c>
      <c r="B1683" s="67" t="s">
        <v>1469</v>
      </c>
      <c r="C1683" s="74">
        <f>1242.94*0.8*0.95</f>
        <v>944.63440000000003</v>
      </c>
      <c r="D1683" s="67" t="s">
        <v>1784</v>
      </c>
    </row>
    <row r="1684" spans="1:4" x14ac:dyDescent="0.25">
      <c r="A1684" s="91" t="s">
        <v>2868</v>
      </c>
      <c r="B1684" s="67" t="s">
        <v>1470</v>
      </c>
      <c r="C1684" s="74">
        <f>3062.94*0.8*0.95</f>
        <v>2327.8344000000002</v>
      </c>
      <c r="D1684" s="67" t="s">
        <v>1784</v>
      </c>
    </row>
    <row r="1685" spans="1:4" x14ac:dyDescent="0.25">
      <c r="A1685" s="91" t="s">
        <v>2867</v>
      </c>
      <c r="B1685" s="67" t="s">
        <v>1471</v>
      </c>
      <c r="C1685" s="74">
        <f>3018.63*0.8*0.95</f>
        <v>2294.1587999999997</v>
      </c>
      <c r="D1685" s="67" t="s">
        <v>1784</v>
      </c>
    </row>
    <row r="1686" spans="1:4" x14ac:dyDescent="0.25">
      <c r="A1686" s="91" t="s">
        <v>2870</v>
      </c>
      <c r="B1686" s="67" t="s">
        <v>1472</v>
      </c>
      <c r="C1686" s="74">
        <f>3090.23*0.8*0.95</f>
        <v>2348.5747999999999</v>
      </c>
      <c r="D1686" s="67" t="s">
        <v>1784</v>
      </c>
    </row>
    <row r="1687" spans="1:4" x14ac:dyDescent="0.25">
      <c r="A1687" s="91" t="s">
        <v>2869</v>
      </c>
      <c r="B1687" s="67" t="s">
        <v>1473</v>
      </c>
      <c r="C1687" s="74">
        <f>3045.93*0.8*0.95</f>
        <v>2314.9068000000002</v>
      </c>
      <c r="D1687" s="67" t="s">
        <v>1784</v>
      </c>
    </row>
    <row r="1688" spans="1:4" x14ac:dyDescent="0.25">
      <c r="A1688" s="92" t="s">
        <v>2851</v>
      </c>
      <c r="B1688" s="67" t="s">
        <v>1474</v>
      </c>
      <c r="C1688" s="74">
        <f>1242.94*0.8*0.95</f>
        <v>944.63440000000003</v>
      </c>
      <c r="D1688" s="67" t="s">
        <v>1784</v>
      </c>
    </row>
    <row r="1689" spans="1:4" ht="15.75" x14ac:dyDescent="0.25">
      <c r="A1689" s="94" t="s">
        <v>2181</v>
      </c>
      <c r="B1689" s="67">
        <v>5400</v>
      </c>
      <c r="C1689" s="75">
        <v>1556</v>
      </c>
      <c r="D1689" s="67" t="s">
        <v>1784</v>
      </c>
    </row>
    <row r="1690" spans="1:4" ht="15.75" x14ac:dyDescent="0.25">
      <c r="A1690" s="94" t="s">
        <v>2182</v>
      </c>
      <c r="B1690" s="67">
        <v>5011</v>
      </c>
      <c r="C1690" s="75">
        <v>2300</v>
      </c>
      <c r="D1690" s="67" t="s">
        <v>1784</v>
      </c>
    </row>
    <row r="1691" spans="1:4" ht="15.75" x14ac:dyDescent="0.25">
      <c r="A1691" s="94" t="s">
        <v>2183</v>
      </c>
      <c r="B1691" s="67">
        <v>5119</v>
      </c>
      <c r="C1691" s="75">
        <v>1313</v>
      </c>
      <c r="D1691" s="67" t="s">
        <v>1784</v>
      </c>
    </row>
    <row r="1692" spans="1:4" x14ac:dyDescent="0.25">
      <c r="A1692" s="91" t="s">
        <v>2931</v>
      </c>
      <c r="B1692" s="67" t="s">
        <v>1475</v>
      </c>
      <c r="C1692" s="74">
        <f>322.42*0.8*0.95</f>
        <v>245.03920000000002</v>
      </c>
      <c r="D1692" s="67" t="s">
        <v>1784</v>
      </c>
    </row>
    <row r="1693" spans="1:4" x14ac:dyDescent="0.25">
      <c r="A1693" s="91" t="s">
        <v>3083</v>
      </c>
      <c r="B1693" s="67" t="s">
        <v>1476</v>
      </c>
      <c r="C1693" s="74">
        <f>332.15*0.8*0.95</f>
        <v>252.43399999999997</v>
      </c>
      <c r="D1693" s="67" t="s">
        <v>1784</v>
      </c>
    </row>
    <row r="1694" spans="1:4" x14ac:dyDescent="0.25">
      <c r="A1694" s="91" t="s">
        <v>3084</v>
      </c>
      <c r="B1694" s="67" t="s">
        <v>1477</v>
      </c>
      <c r="C1694" s="74">
        <f>369.95*0.8*0.95</f>
        <v>281.16199999999998</v>
      </c>
      <c r="D1694" s="67" t="s">
        <v>1784</v>
      </c>
    </row>
    <row r="1695" spans="1:4" x14ac:dyDescent="0.25">
      <c r="A1695" s="91" t="s">
        <v>3086</v>
      </c>
      <c r="B1695" s="67" t="s">
        <v>1478</v>
      </c>
      <c r="C1695" s="74">
        <f>452.2*0.8*0.95</f>
        <v>343.67199999999997</v>
      </c>
      <c r="D1695" s="67" t="s">
        <v>1784</v>
      </c>
    </row>
    <row r="1696" spans="1:4" x14ac:dyDescent="0.25">
      <c r="A1696" s="91" t="s">
        <v>3085</v>
      </c>
      <c r="B1696" s="67" t="s">
        <v>1479</v>
      </c>
      <c r="C1696" s="74">
        <f>412.3*0.8*0.95</f>
        <v>313.34800000000001</v>
      </c>
      <c r="D1696" s="67" t="s">
        <v>1784</v>
      </c>
    </row>
    <row r="1697" spans="1:4" x14ac:dyDescent="0.25">
      <c r="A1697" s="91" t="s">
        <v>3087</v>
      </c>
      <c r="B1697" s="67" t="s">
        <v>1480</v>
      </c>
      <c r="C1697" s="74">
        <f>510.65*0.8*0.95</f>
        <v>388.09399999999994</v>
      </c>
      <c r="D1697" s="67" t="s">
        <v>1784</v>
      </c>
    </row>
    <row r="1698" spans="1:4" x14ac:dyDescent="0.25">
      <c r="A1698" s="92" t="s">
        <v>2732</v>
      </c>
      <c r="B1698" s="67" t="s">
        <v>1481</v>
      </c>
      <c r="C1698" s="74">
        <f>235.95*0.8*0.95</f>
        <v>179.32199999999997</v>
      </c>
      <c r="D1698" s="67" t="s">
        <v>1784</v>
      </c>
    </row>
    <row r="1699" spans="1:4" x14ac:dyDescent="0.25">
      <c r="A1699" s="92" t="s">
        <v>2734</v>
      </c>
      <c r="B1699" s="67" t="s">
        <v>1482</v>
      </c>
      <c r="C1699" s="74">
        <f>228.84*0.8*0.95</f>
        <v>173.91839999999999</v>
      </c>
      <c r="D1699" s="67" t="s">
        <v>1784</v>
      </c>
    </row>
    <row r="1700" spans="1:4" x14ac:dyDescent="0.25">
      <c r="A1700" s="92" t="s">
        <v>2733</v>
      </c>
      <c r="B1700" s="67" t="s">
        <v>1483</v>
      </c>
      <c r="C1700" s="74">
        <f>239.04*0.8*0.95</f>
        <v>181.6704</v>
      </c>
      <c r="D1700" s="67" t="s">
        <v>1784</v>
      </c>
    </row>
    <row r="1701" spans="1:4" x14ac:dyDescent="0.25">
      <c r="A1701" s="92" t="s">
        <v>2735</v>
      </c>
      <c r="B1701" s="67" t="s">
        <v>1484</v>
      </c>
      <c r="C1701" s="74">
        <f>169.08*0.8*0.95</f>
        <v>128.5008</v>
      </c>
      <c r="D1701" s="67" t="s">
        <v>1784</v>
      </c>
    </row>
    <row r="1702" spans="1:4" x14ac:dyDescent="0.25">
      <c r="A1702" s="92" t="s">
        <v>2736</v>
      </c>
      <c r="B1702" s="67" t="s">
        <v>1485</v>
      </c>
      <c r="C1702" s="74">
        <f>180.71*0.8*0.95</f>
        <v>137.33960000000002</v>
      </c>
      <c r="D1702" s="67" t="s">
        <v>1784</v>
      </c>
    </row>
    <row r="1703" spans="1:4" x14ac:dyDescent="0.25">
      <c r="A1703" s="91" t="s">
        <v>2740</v>
      </c>
      <c r="B1703" s="67" t="s">
        <v>1486</v>
      </c>
      <c r="C1703" s="74">
        <f>95.1*0.8*0.95</f>
        <v>72.275999999999996</v>
      </c>
      <c r="D1703" s="67" t="s">
        <v>1784</v>
      </c>
    </row>
    <row r="1704" spans="1:4" x14ac:dyDescent="0.25">
      <c r="A1704" s="91" t="s">
        <v>2742</v>
      </c>
      <c r="B1704" s="67" t="s">
        <v>1487</v>
      </c>
      <c r="C1704" s="74">
        <f>121.03*0.8*0.95</f>
        <v>91.982800000000012</v>
      </c>
      <c r="D1704" s="67" t="s">
        <v>1784</v>
      </c>
    </row>
    <row r="1705" spans="1:4" x14ac:dyDescent="0.25">
      <c r="A1705" s="91" t="s">
        <v>2741</v>
      </c>
      <c r="B1705" s="67" t="s">
        <v>1488</v>
      </c>
      <c r="C1705" s="74">
        <f>95.1*0.8*0.95</f>
        <v>72.275999999999996</v>
      </c>
      <c r="D1705" s="67" t="s">
        <v>1784</v>
      </c>
    </row>
    <row r="1706" spans="1:4" x14ac:dyDescent="0.25">
      <c r="A1706" s="91" t="s">
        <v>2743</v>
      </c>
      <c r="B1706" s="67" t="s">
        <v>1489</v>
      </c>
      <c r="C1706" s="74">
        <f>103.74*0.8*0.95</f>
        <v>78.842399999999998</v>
      </c>
      <c r="D1706" s="67" t="s">
        <v>1784</v>
      </c>
    </row>
    <row r="1707" spans="1:4" x14ac:dyDescent="0.25">
      <c r="A1707" s="91" t="s">
        <v>2745</v>
      </c>
      <c r="B1707" s="67" t="s">
        <v>1490</v>
      </c>
      <c r="C1707" s="74">
        <f>125.35*0.8*0.95</f>
        <v>95.265999999999991</v>
      </c>
      <c r="D1707" s="67" t="s">
        <v>1784</v>
      </c>
    </row>
    <row r="1708" spans="1:4" x14ac:dyDescent="0.25">
      <c r="A1708" s="91" t="s">
        <v>2744</v>
      </c>
      <c r="B1708" s="67" t="s">
        <v>1491</v>
      </c>
      <c r="C1708" s="74">
        <f>108.06*0.8*0.95</f>
        <v>82.125600000000006</v>
      </c>
      <c r="D1708" s="67" t="s">
        <v>1784</v>
      </c>
    </row>
    <row r="1709" spans="1:4" x14ac:dyDescent="0.25">
      <c r="A1709" s="92" t="s">
        <v>2728</v>
      </c>
      <c r="B1709" s="67" t="s">
        <v>1492</v>
      </c>
      <c r="C1709" s="74">
        <f>332.29*0.8*0.95</f>
        <v>252.54040000000003</v>
      </c>
      <c r="D1709" s="67" t="s">
        <v>1784</v>
      </c>
    </row>
    <row r="1710" spans="1:4" x14ac:dyDescent="0.25">
      <c r="A1710" s="92" t="s">
        <v>2729</v>
      </c>
      <c r="B1710" s="67" t="s">
        <v>1493</v>
      </c>
      <c r="C1710" s="74">
        <f>348.64*0.8*0.95</f>
        <v>264.96639999999996</v>
      </c>
      <c r="D1710" s="67" t="s">
        <v>1784</v>
      </c>
    </row>
    <row r="1711" spans="1:4" x14ac:dyDescent="0.25">
      <c r="A1711" s="92" t="s">
        <v>2747</v>
      </c>
      <c r="B1711" s="67" t="s">
        <v>1494</v>
      </c>
      <c r="C1711" s="74">
        <f>52.5*0.8*0.95</f>
        <v>39.9</v>
      </c>
      <c r="D1711" s="67" t="s">
        <v>1784</v>
      </c>
    </row>
    <row r="1712" spans="1:4" x14ac:dyDescent="0.25">
      <c r="A1712" s="92" t="s">
        <v>2746</v>
      </c>
      <c r="B1712" s="67" t="s">
        <v>1495</v>
      </c>
      <c r="C1712" s="74">
        <f>52.5*0.8*0.95</f>
        <v>39.9</v>
      </c>
      <c r="D1712" s="67" t="s">
        <v>1784</v>
      </c>
    </row>
    <row r="1713" spans="1:4" x14ac:dyDescent="0.25">
      <c r="A1713" s="92" t="s">
        <v>2738</v>
      </c>
      <c r="B1713" s="67" t="s">
        <v>1496</v>
      </c>
      <c r="C1713" s="74">
        <f>127.73*0.8*0.95</f>
        <v>97.07480000000001</v>
      </c>
      <c r="D1713" s="67" t="s">
        <v>1784</v>
      </c>
    </row>
    <row r="1714" spans="1:4" x14ac:dyDescent="0.25">
      <c r="A1714" s="92" t="s">
        <v>2737</v>
      </c>
      <c r="B1714" s="67" t="s">
        <v>1497</v>
      </c>
      <c r="C1714" s="74">
        <f>125.58*0.8*0.95</f>
        <v>95.440799999999996</v>
      </c>
      <c r="D1714" s="67" t="s">
        <v>1784</v>
      </c>
    </row>
    <row r="1715" spans="1:4" x14ac:dyDescent="0.25">
      <c r="A1715" s="92" t="s">
        <v>2739</v>
      </c>
      <c r="B1715" s="67" t="s">
        <v>1498</v>
      </c>
      <c r="C1715" s="74">
        <f>125.58*0.8*0.95</f>
        <v>95.440799999999996</v>
      </c>
      <c r="D1715" s="67" t="s">
        <v>1784</v>
      </c>
    </row>
    <row r="1716" spans="1:4" x14ac:dyDescent="0.25">
      <c r="A1716" s="91" t="s">
        <v>2862</v>
      </c>
      <c r="B1716" s="67" t="s">
        <v>1499</v>
      </c>
      <c r="C1716" s="74">
        <f>481.95*0.8*0.95</f>
        <v>366.28199999999998</v>
      </c>
      <c r="D1716" s="67" t="s">
        <v>1784</v>
      </c>
    </row>
    <row r="1717" spans="1:4" x14ac:dyDescent="0.25">
      <c r="A1717" s="91" t="s">
        <v>2861</v>
      </c>
      <c r="B1717" s="67" t="s">
        <v>1500</v>
      </c>
      <c r="C1717" s="74">
        <f>401.6*0.8*0.95</f>
        <v>305.21600000000001</v>
      </c>
      <c r="D1717" s="67" t="s">
        <v>1784</v>
      </c>
    </row>
    <row r="1718" spans="1:4" x14ac:dyDescent="0.25">
      <c r="A1718" s="92" t="s">
        <v>3024</v>
      </c>
      <c r="B1718" s="67" t="s">
        <v>1501</v>
      </c>
      <c r="C1718" s="74">
        <f>318.5*0.8*0.95</f>
        <v>242.06</v>
      </c>
      <c r="D1718" s="67" t="s">
        <v>1784</v>
      </c>
    </row>
    <row r="1719" spans="1:4" x14ac:dyDescent="0.25">
      <c r="A1719" s="92" t="s">
        <v>3005</v>
      </c>
      <c r="B1719" s="67" t="s">
        <v>1502</v>
      </c>
      <c r="C1719" s="74">
        <f>116.2*0.8*0.95</f>
        <v>88.311999999999998</v>
      </c>
      <c r="D1719" s="67" t="s">
        <v>1784</v>
      </c>
    </row>
    <row r="1720" spans="1:4" x14ac:dyDescent="0.25">
      <c r="A1720" s="92" t="s">
        <v>3005</v>
      </c>
      <c r="B1720" s="67" t="s">
        <v>1502</v>
      </c>
      <c r="C1720" s="74">
        <f>116.2*0.8*0.95</f>
        <v>88.311999999999998</v>
      </c>
      <c r="D1720" s="67" t="s">
        <v>1784</v>
      </c>
    </row>
    <row r="1721" spans="1:4" x14ac:dyDescent="0.25">
      <c r="A1721" s="91" t="s">
        <v>3004</v>
      </c>
      <c r="B1721" s="67" t="s">
        <v>1503</v>
      </c>
      <c r="C1721" s="74">
        <f>141.05*0.8*0.95</f>
        <v>107.19800000000001</v>
      </c>
      <c r="D1721" s="67" t="s">
        <v>1784</v>
      </c>
    </row>
    <row r="1722" spans="1:4" x14ac:dyDescent="0.25">
      <c r="A1722" s="91" t="s">
        <v>3004</v>
      </c>
      <c r="B1722" s="67" t="s">
        <v>1503</v>
      </c>
      <c r="C1722" s="74">
        <f>141.05*0.8*0.95</f>
        <v>107.19800000000001</v>
      </c>
      <c r="D1722" s="67" t="s">
        <v>1784</v>
      </c>
    </row>
    <row r="1723" spans="1:4" x14ac:dyDescent="0.25">
      <c r="A1723" s="91" t="s">
        <v>2725</v>
      </c>
      <c r="B1723" s="67" t="s">
        <v>1504</v>
      </c>
      <c r="C1723" s="74">
        <f>460.05*0.8*0.95</f>
        <v>349.63799999999998</v>
      </c>
      <c r="D1723" s="67" t="s">
        <v>1784</v>
      </c>
    </row>
    <row r="1724" spans="1:4" x14ac:dyDescent="0.25">
      <c r="A1724" s="92" t="s">
        <v>2727</v>
      </c>
      <c r="B1724" s="67" t="s">
        <v>1505</v>
      </c>
      <c r="C1724" s="74">
        <f>444.12*0.8*0.95</f>
        <v>337.53120000000001</v>
      </c>
      <c r="D1724" s="67" t="s">
        <v>1784</v>
      </c>
    </row>
    <row r="1725" spans="1:4" x14ac:dyDescent="0.25">
      <c r="A1725" s="91" t="s">
        <v>2726</v>
      </c>
      <c r="B1725" s="67" t="s">
        <v>1506</v>
      </c>
      <c r="C1725" s="74">
        <f>476.4*0.8*0.95</f>
        <v>362.06399999999996</v>
      </c>
      <c r="D1725" s="67" t="s">
        <v>1784</v>
      </c>
    </row>
    <row r="1726" spans="1:4" x14ac:dyDescent="0.25">
      <c r="A1726" s="92" t="s">
        <v>2730</v>
      </c>
      <c r="B1726" s="67" t="s">
        <v>1507</v>
      </c>
      <c r="C1726" s="74">
        <f>370.32*0.8*0.95</f>
        <v>281.44319999999999</v>
      </c>
      <c r="D1726" s="67" t="s">
        <v>1784</v>
      </c>
    </row>
    <row r="1727" spans="1:4" x14ac:dyDescent="0.25">
      <c r="A1727" s="92" t="s">
        <v>2731</v>
      </c>
      <c r="B1727" s="67" t="s">
        <v>1508</v>
      </c>
      <c r="C1727" s="74">
        <f>386.03*0.8*0.95</f>
        <v>293.38279999999997</v>
      </c>
      <c r="D1727" s="67" t="s">
        <v>1784</v>
      </c>
    </row>
    <row r="1728" spans="1:4" x14ac:dyDescent="0.25">
      <c r="A1728" s="91" t="s">
        <v>3082</v>
      </c>
      <c r="B1728" s="67" t="s">
        <v>1509</v>
      </c>
      <c r="C1728" s="74">
        <f>752.47*0.8*0.95</f>
        <v>571.87720000000002</v>
      </c>
      <c r="D1728" s="67" t="s">
        <v>1784</v>
      </c>
    </row>
    <row r="1729" spans="1:4" x14ac:dyDescent="0.25">
      <c r="A1729" s="91" t="s">
        <v>3081</v>
      </c>
      <c r="B1729" s="67" t="s">
        <v>1510</v>
      </c>
      <c r="C1729" s="74">
        <f>607.77*0.8*0.95</f>
        <v>461.90519999999998</v>
      </c>
      <c r="D1729" s="67" t="s">
        <v>1784</v>
      </c>
    </row>
    <row r="1730" spans="1:4" x14ac:dyDescent="0.25">
      <c r="A1730" s="91" t="s">
        <v>3078</v>
      </c>
      <c r="B1730" s="67" t="s">
        <v>1511</v>
      </c>
      <c r="C1730" s="74">
        <f>438.57*0.8*0.95</f>
        <v>333.31319999999999</v>
      </c>
      <c r="D1730" s="67" t="s">
        <v>1784</v>
      </c>
    </row>
    <row r="1731" spans="1:4" x14ac:dyDescent="0.25">
      <c r="A1731" s="91" t="s">
        <v>3080</v>
      </c>
      <c r="B1731" s="67" t="s">
        <v>1512</v>
      </c>
      <c r="C1731" s="74">
        <f>734.66*0.8*0.95</f>
        <v>558.34159999999997</v>
      </c>
      <c r="D1731" s="67" t="s">
        <v>1784</v>
      </c>
    </row>
    <row r="1732" spans="1:4" x14ac:dyDescent="0.25">
      <c r="A1732" s="91" t="s">
        <v>3079</v>
      </c>
      <c r="B1732" s="67" t="s">
        <v>1513</v>
      </c>
      <c r="C1732" s="74">
        <f>547.66*0.8*0.95</f>
        <v>416.22159999999997</v>
      </c>
      <c r="D1732" s="67" t="s">
        <v>1784</v>
      </c>
    </row>
    <row r="1733" spans="1:4" x14ac:dyDescent="0.25">
      <c r="A1733" s="91" t="s">
        <v>3073</v>
      </c>
      <c r="B1733" s="67" t="s">
        <v>1514</v>
      </c>
      <c r="C1733" s="74">
        <f>213.72*0.8*0.95</f>
        <v>162.4272</v>
      </c>
      <c r="D1733" s="67" t="s">
        <v>1784</v>
      </c>
    </row>
    <row r="1734" spans="1:4" x14ac:dyDescent="0.25">
      <c r="A1734" s="91" t="s">
        <v>3076</v>
      </c>
      <c r="B1734" s="67" t="s">
        <v>1515</v>
      </c>
      <c r="C1734" s="74">
        <f>333.42*0.8*0.95</f>
        <v>253.39920000000004</v>
      </c>
      <c r="D1734" s="67" t="s">
        <v>1784</v>
      </c>
    </row>
    <row r="1735" spans="1:4" x14ac:dyDescent="0.25">
      <c r="A1735" s="91" t="s">
        <v>3074</v>
      </c>
      <c r="B1735" s="67" t="s">
        <v>1516</v>
      </c>
      <c r="C1735" s="74">
        <f>287.7*0.8*0.95</f>
        <v>218.65199999999999</v>
      </c>
      <c r="D1735" s="67" t="s">
        <v>1784</v>
      </c>
    </row>
    <row r="1736" spans="1:4" x14ac:dyDescent="0.25">
      <c r="A1736" s="91" t="s">
        <v>3075</v>
      </c>
      <c r="B1736" s="67" t="s">
        <v>1517</v>
      </c>
      <c r="C1736" s="74">
        <f>241.46*0.8*0.95</f>
        <v>183.50960000000001</v>
      </c>
      <c r="D1736" s="67" t="s">
        <v>1784</v>
      </c>
    </row>
    <row r="1737" spans="1:4" x14ac:dyDescent="0.25">
      <c r="A1737" s="91" t="s">
        <v>3077</v>
      </c>
      <c r="B1737" s="67" t="s">
        <v>1518</v>
      </c>
      <c r="C1737" s="74">
        <f>374.7*0.8*0.95</f>
        <v>284.77199999999999</v>
      </c>
      <c r="D1737" s="67" t="s">
        <v>1784</v>
      </c>
    </row>
    <row r="1738" spans="1:4" x14ac:dyDescent="0.25">
      <c r="A1738" s="91" t="s">
        <v>3088</v>
      </c>
      <c r="B1738" s="67" t="s">
        <v>1519</v>
      </c>
      <c r="C1738" s="74">
        <f>2112.25*0.8*0.95</f>
        <v>1605.3100000000002</v>
      </c>
      <c r="D1738" s="67" t="s">
        <v>1784</v>
      </c>
    </row>
    <row r="1739" spans="1:4" x14ac:dyDescent="0.25">
      <c r="A1739" s="91" t="s">
        <v>3089</v>
      </c>
      <c r="B1739" s="67" t="s">
        <v>1520</v>
      </c>
      <c r="C1739" s="74">
        <f>2002*0.8*0.95</f>
        <v>1521.52</v>
      </c>
      <c r="D1739" s="67" t="s">
        <v>1784</v>
      </c>
    </row>
    <row r="1740" spans="1:4" x14ac:dyDescent="0.25">
      <c r="A1740" s="91" t="s">
        <v>3090</v>
      </c>
      <c r="B1740" s="67" t="s">
        <v>1521</v>
      </c>
      <c r="C1740" s="74">
        <f>2127.3*0.8*0.95</f>
        <v>1616.748</v>
      </c>
      <c r="D1740" s="67" t="s">
        <v>1784</v>
      </c>
    </row>
    <row r="1741" spans="1:4" x14ac:dyDescent="0.25">
      <c r="A1741" s="91" t="s">
        <v>3091</v>
      </c>
      <c r="B1741" s="67" t="s">
        <v>1522</v>
      </c>
      <c r="C1741" s="74">
        <f>2177.35*0.8*0.95</f>
        <v>1654.7860000000001</v>
      </c>
      <c r="D1741" s="67" t="s">
        <v>1784</v>
      </c>
    </row>
    <row r="1742" spans="1:4" x14ac:dyDescent="0.25">
      <c r="A1742" s="92" t="s">
        <v>2715</v>
      </c>
      <c r="B1742" s="67" t="s">
        <v>1523</v>
      </c>
      <c r="C1742" s="74">
        <f>164.59*0.8*0.95</f>
        <v>125.08839999999999</v>
      </c>
      <c r="D1742" s="67" t="s">
        <v>1784</v>
      </c>
    </row>
    <row r="1743" spans="1:4" x14ac:dyDescent="0.25">
      <c r="A1743" s="92" t="s">
        <v>2716</v>
      </c>
      <c r="B1743" s="67" t="s">
        <v>1524</v>
      </c>
      <c r="C1743" s="74">
        <f>158.94*0.8*0.95</f>
        <v>120.7944</v>
      </c>
      <c r="D1743" s="67" t="s">
        <v>1784</v>
      </c>
    </row>
    <row r="1744" spans="1:4" x14ac:dyDescent="0.25">
      <c r="A1744" s="92" t="s">
        <v>2721</v>
      </c>
      <c r="B1744" s="67" t="s">
        <v>1525</v>
      </c>
      <c r="C1744" s="74">
        <f>296.92*0.8*0.95</f>
        <v>225.65920000000003</v>
      </c>
      <c r="D1744" s="67" t="s">
        <v>1784</v>
      </c>
    </row>
    <row r="1745" spans="1:4" x14ac:dyDescent="0.25">
      <c r="A1745" s="92" t="s">
        <v>2722</v>
      </c>
      <c r="B1745" s="67" t="s">
        <v>1526</v>
      </c>
      <c r="C1745" s="74">
        <f>273.65*0.8*0.95</f>
        <v>207.97399999999999</v>
      </c>
      <c r="D1745" s="67" t="s">
        <v>1784</v>
      </c>
    </row>
    <row r="1746" spans="1:4" x14ac:dyDescent="0.25">
      <c r="A1746" s="92" t="s">
        <v>2723</v>
      </c>
      <c r="B1746" s="67" t="s">
        <v>1527</v>
      </c>
      <c r="C1746" s="74">
        <f>315.88*0.8*0.95</f>
        <v>240.06880000000001</v>
      </c>
      <c r="D1746" s="67" t="s">
        <v>1784</v>
      </c>
    </row>
    <row r="1747" spans="1:4" x14ac:dyDescent="0.25">
      <c r="A1747" s="92" t="s">
        <v>2724</v>
      </c>
      <c r="B1747" s="67" t="s">
        <v>1528</v>
      </c>
      <c r="C1747" s="74">
        <f>305.24*0.8*0.95</f>
        <v>231.98239999999998</v>
      </c>
      <c r="D1747" s="67" t="s">
        <v>1784</v>
      </c>
    </row>
    <row r="1748" spans="1:4" x14ac:dyDescent="0.25">
      <c r="A1748" s="92" t="s">
        <v>2712</v>
      </c>
      <c r="B1748" s="67" t="s">
        <v>1529</v>
      </c>
      <c r="C1748" s="74">
        <f>197.84*0.8*0.95</f>
        <v>150.35840000000002</v>
      </c>
      <c r="D1748" s="67" t="s">
        <v>1784</v>
      </c>
    </row>
    <row r="1749" spans="1:4" x14ac:dyDescent="0.25">
      <c r="A1749" s="92" t="s">
        <v>2714</v>
      </c>
      <c r="B1749" s="67" t="s">
        <v>1530</v>
      </c>
      <c r="C1749" s="74">
        <f>293.93*0.8*0.95</f>
        <v>223.38679999999999</v>
      </c>
      <c r="D1749" s="67" t="s">
        <v>1784</v>
      </c>
    </row>
    <row r="1750" spans="1:4" x14ac:dyDescent="0.25">
      <c r="A1750" s="92" t="s">
        <v>2713</v>
      </c>
      <c r="B1750" s="67" t="s">
        <v>1531</v>
      </c>
      <c r="C1750" s="74">
        <f>192.52*0.8*0.95</f>
        <v>146.3152</v>
      </c>
      <c r="D1750" s="67" t="s">
        <v>1784</v>
      </c>
    </row>
    <row r="1751" spans="1:4" x14ac:dyDescent="0.25">
      <c r="A1751" s="92" t="s">
        <v>2717</v>
      </c>
      <c r="B1751" s="67" t="s">
        <v>1532</v>
      </c>
      <c r="C1751" s="74">
        <f>278.3*0.8*0.95</f>
        <v>211.50800000000001</v>
      </c>
      <c r="D1751" s="67" t="s">
        <v>1784</v>
      </c>
    </row>
    <row r="1752" spans="1:4" x14ac:dyDescent="0.25">
      <c r="A1752" s="92" t="s">
        <v>2718</v>
      </c>
      <c r="B1752" s="67" t="s">
        <v>1533</v>
      </c>
      <c r="C1752" s="74">
        <f>254.03*0.8*0.95</f>
        <v>193.06280000000001</v>
      </c>
      <c r="D1752" s="67" t="s">
        <v>1784</v>
      </c>
    </row>
    <row r="1753" spans="1:4" x14ac:dyDescent="0.25">
      <c r="A1753" s="92" t="s">
        <v>2719</v>
      </c>
      <c r="B1753" s="67" t="s">
        <v>1534</v>
      </c>
      <c r="C1753" s="74">
        <f>289.61*0.8*0.95</f>
        <v>220.1036</v>
      </c>
      <c r="D1753" s="67" t="s">
        <v>1784</v>
      </c>
    </row>
    <row r="1754" spans="1:4" x14ac:dyDescent="0.25">
      <c r="A1754" s="92" t="s">
        <v>2720</v>
      </c>
      <c r="B1754" s="67" t="s">
        <v>1535</v>
      </c>
      <c r="C1754" s="74">
        <f>278.97*0.8*0.95</f>
        <v>212.01720000000003</v>
      </c>
      <c r="D1754" s="67" t="s">
        <v>1784</v>
      </c>
    </row>
    <row r="1755" spans="1:4" x14ac:dyDescent="0.25">
      <c r="A1755" s="91" t="s">
        <v>3050</v>
      </c>
      <c r="B1755" s="67" t="s">
        <v>1536</v>
      </c>
      <c r="C1755" s="74">
        <f>218.75*0.8*0.95</f>
        <v>166.25</v>
      </c>
      <c r="D1755" s="67" t="s">
        <v>1784</v>
      </c>
    </row>
    <row r="1756" spans="1:4" ht="15.75" x14ac:dyDescent="0.25">
      <c r="A1756" s="94" t="s">
        <v>1973</v>
      </c>
      <c r="B1756" s="67">
        <v>2675</v>
      </c>
      <c r="C1756" s="75">
        <v>4376</v>
      </c>
      <c r="D1756" s="67" t="s">
        <v>1784</v>
      </c>
    </row>
    <row r="1757" spans="1:4" ht="15.75" x14ac:dyDescent="0.25">
      <c r="A1757" s="94" t="s">
        <v>1974</v>
      </c>
      <c r="B1757" s="67">
        <v>2982</v>
      </c>
      <c r="C1757" s="75">
        <v>1158</v>
      </c>
      <c r="D1757" s="67" t="s">
        <v>1784</v>
      </c>
    </row>
    <row r="1758" spans="1:4" ht="15.75" x14ac:dyDescent="0.25">
      <c r="A1758" s="94" t="s">
        <v>1975</v>
      </c>
      <c r="B1758" s="67">
        <v>2857</v>
      </c>
      <c r="C1758" s="75">
        <v>95</v>
      </c>
      <c r="D1758" s="67" t="s">
        <v>1784</v>
      </c>
    </row>
    <row r="1759" spans="1:4" ht="15.75" x14ac:dyDescent="0.25">
      <c r="A1759" s="94" t="s">
        <v>2184</v>
      </c>
      <c r="B1759" s="67">
        <v>3158</v>
      </c>
      <c r="C1759" s="75">
        <v>14108</v>
      </c>
      <c r="D1759" s="67" t="s">
        <v>1784</v>
      </c>
    </row>
    <row r="1760" spans="1:4" ht="15.75" x14ac:dyDescent="0.25">
      <c r="A1760" s="94" t="s">
        <v>2330</v>
      </c>
      <c r="B1760" s="67">
        <v>4539</v>
      </c>
      <c r="C1760" s="75">
        <v>4585</v>
      </c>
      <c r="D1760" s="67" t="s">
        <v>1784</v>
      </c>
    </row>
    <row r="1761" spans="1:4" ht="15.75" x14ac:dyDescent="0.25">
      <c r="A1761" s="94" t="s">
        <v>2331</v>
      </c>
      <c r="B1761" s="67">
        <v>4540</v>
      </c>
      <c r="C1761" s="75">
        <v>6986</v>
      </c>
      <c r="D1761" s="67" t="s">
        <v>1784</v>
      </c>
    </row>
    <row r="1762" spans="1:4" ht="15.75" x14ac:dyDescent="0.25">
      <c r="A1762" s="94" t="s">
        <v>2332</v>
      </c>
      <c r="B1762" s="67">
        <v>4122</v>
      </c>
      <c r="C1762" s="75">
        <v>3601</v>
      </c>
      <c r="D1762" s="67" t="s">
        <v>1784</v>
      </c>
    </row>
    <row r="1763" spans="1:4" ht="15.75" x14ac:dyDescent="0.25">
      <c r="A1763" s="94" t="s">
        <v>2333</v>
      </c>
      <c r="B1763" s="67">
        <v>4543</v>
      </c>
      <c r="C1763" s="75">
        <v>6285</v>
      </c>
      <c r="D1763" s="67" t="s">
        <v>1784</v>
      </c>
    </row>
    <row r="1764" spans="1:4" ht="15.75" x14ac:dyDescent="0.25">
      <c r="A1764" s="94" t="s">
        <v>2334</v>
      </c>
      <c r="B1764" s="67">
        <v>4709</v>
      </c>
      <c r="C1764" s="75">
        <v>6910</v>
      </c>
      <c r="D1764" s="67" t="s">
        <v>1784</v>
      </c>
    </row>
    <row r="1765" spans="1:4" ht="15.75" x14ac:dyDescent="0.25">
      <c r="A1765" s="94" t="s">
        <v>2335</v>
      </c>
      <c r="B1765" s="67">
        <v>4701</v>
      </c>
      <c r="C1765" s="75">
        <v>9755</v>
      </c>
      <c r="D1765" s="67" t="s">
        <v>1784</v>
      </c>
    </row>
    <row r="1766" spans="1:4" x14ac:dyDescent="0.25">
      <c r="A1766" s="92" t="s">
        <v>3014</v>
      </c>
      <c r="B1766" s="67" t="s">
        <v>1537</v>
      </c>
      <c r="C1766" s="74">
        <f>6924.39*0.8*0.95</f>
        <v>5262.5364</v>
      </c>
      <c r="D1766" s="67" t="s">
        <v>1784</v>
      </c>
    </row>
    <row r="1767" spans="1:4" x14ac:dyDescent="0.25">
      <c r="A1767" s="92" t="s">
        <v>3015</v>
      </c>
      <c r="B1767" s="67" t="s">
        <v>1538</v>
      </c>
      <c r="C1767" s="74">
        <f>8785.34*0.8*0.95</f>
        <v>6676.8584000000001</v>
      </c>
      <c r="D1767" s="67" t="s">
        <v>1784</v>
      </c>
    </row>
    <row r="1768" spans="1:4" x14ac:dyDescent="0.25">
      <c r="A1768" s="91" t="s">
        <v>3181</v>
      </c>
      <c r="B1768" s="67" t="s">
        <v>1539</v>
      </c>
      <c r="C1768" s="74">
        <f>14284.43*0.8*0.95</f>
        <v>10856.166800000001</v>
      </c>
      <c r="D1768" s="67" t="s">
        <v>1784</v>
      </c>
    </row>
    <row r="1769" spans="1:4" x14ac:dyDescent="0.25">
      <c r="A1769" s="91" t="s">
        <v>3182</v>
      </c>
      <c r="B1769" s="67" t="s">
        <v>1540</v>
      </c>
      <c r="C1769" s="74">
        <f>21587.19*0.8*0.95</f>
        <v>16406.2644</v>
      </c>
      <c r="D1769" s="67" t="s">
        <v>1784</v>
      </c>
    </row>
    <row r="1770" spans="1:4" x14ac:dyDescent="0.25">
      <c r="A1770" s="91" t="s">
        <v>3183</v>
      </c>
      <c r="B1770" s="67" t="s">
        <v>1541</v>
      </c>
      <c r="C1770" s="74">
        <f>22452.58*0.8*0.95</f>
        <v>17063.960800000001</v>
      </c>
      <c r="D1770" s="67" t="s">
        <v>1784</v>
      </c>
    </row>
    <row r="1771" spans="1:4" x14ac:dyDescent="0.25">
      <c r="A1771" s="91" t="s">
        <v>3184</v>
      </c>
      <c r="B1771" s="67" t="s">
        <v>1542</v>
      </c>
      <c r="C1771" s="74">
        <f>29755.33*0.8*0.95</f>
        <v>22614.050800000001</v>
      </c>
      <c r="D1771" s="67" t="s">
        <v>1784</v>
      </c>
    </row>
    <row r="1772" spans="1:4" x14ac:dyDescent="0.25">
      <c r="A1772" s="91" t="s">
        <v>3185</v>
      </c>
      <c r="B1772" s="67" t="s">
        <v>1543</v>
      </c>
      <c r="C1772" s="74">
        <f>29291.07*0.8*0.95</f>
        <v>22261.213199999998</v>
      </c>
      <c r="D1772" s="67" t="s">
        <v>1784</v>
      </c>
    </row>
    <row r="1773" spans="1:4" x14ac:dyDescent="0.25">
      <c r="A1773" s="91" t="s">
        <v>3186</v>
      </c>
      <c r="B1773" s="67" t="s">
        <v>1544</v>
      </c>
      <c r="C1773" s="74">
        <f>36593.82*0.8*0.95</f>
        <v>27811.303199999998</v>
      </c>
      <c r="D1773" s="67" t="s">
        <v>1784</v>
      </c>
    </row>
    <row r="1774" spans="1:4" x14ac:dyDescent="0.25">
      <c r="A1774" s="91" t="s">
        <v>3187</v>
      </c>
      <c r="B1774" s="67" t="s">
        <v>1545</v>
      </c>
      <c r="C1774" s="74">
        <f>37459.23*0.8*0.95</f>
        <v>28469.014800000004</v>
      </c>
      <c r="D1774" s="67" t="s">
        <v>1784</v>
      </c>
    </row>
    <row r="1775" spans="1:4" x14ac:dyDescent="0.25">
      <c r="A1775" s="91" t="s">
        <v>3188</v>
      </c>
      <c r="B1775" s="67" t="s">
        <v>1546</v>
      </c>
      <c r="C1775" s="74">
        <f>44761.99*0.8*0.95</f>
        <v>34019.112399999998</v>
      </c>
      <c r="D1775" s="67" t="s">
        <v>1784</v>
      </c>
    </row>
    <row r="1776" spans="1:4" x14ac:dyDescent="0.25">
      <c r="A1776" s="91" t="s">
        <v>3189</v>
      </c>
      <c r="B1776" s="67" t="s">
        <v>1547</v>
      </c>
      <c r="C1776" s="74">
        <f>44297.71*0.8*0.95</f>
        <v>33666.259599999998</v>
      </c>
      <c r="D1776" s="67" t="s">
        <v>1784</v>
      </c>
    </row>
    <row r="1777" spans="1:4" x14ac:dyDescent="0.25">
      <c r="A1777" s="91" t="s">
        <v>3190</v>
      </c>
      <c r="B1777" s="67" t="s">
        <v>1548</v>
      </c>
      <c r="C1777" s="74">
        <f>51600.46*0.8*0.95</f>
        <v>39216.349600000001</v>
      </c>
      <c r="D1777" s="67" t="s">
        <v>1784</v>
      </c>
    </row>
    <row r="1778" spans="1:4" x14ac:dyDescent="0.25">
      <c r="A1778" s="91" t="s">
        <v>3192</v>
      </c>
      <c r="B1778" s="67" t="s">
        <v>1549</v>
      </c>
      <c r="C1778" s="74">
        <f>14296.36*0.8*0.95</f>
        <v>10865.233600000001</v>
      </c>
      <c r="D1778" s="67" t="s">
        <v>1784</v>
      </c>
    </row>
    <row r="1779" spans="1:4" x14ac:dyDescent="0.25">
      <c r="A1779" s="91" t="s">
        <v>3193</v>
      </c>
      <c r="B1779" s="67" t="s">
        <v>1550</v>
      </c>
      <c r="C1779" s="74">
        <f>20891.81*0.8*0.95</f>
        <v>15877.775599999999</v>
      </c>
      <c r="D1779" s="67" t="s">
        <v>1784</v>
      </c>
    </row>
    <row r="1780" spans="1:4" x14ac:dyDescent="0.25">
      <c r="A1780" s="91" t="s">
        <v>3198</v>
      </c>
      <c r="B1780" s="67" t="s">
        <v>1551</v>
      </c>
      <c r="C1780" s="74">
        <f>20082.36*0.8*0.95</f>
        <v>15262.5936</v>
      </c>
      <c r="D1780" s="67" t="s">
        <v>1784</v>
      </c>
    </row>
    <row r="1781" spans="1:4" x14ac:dyDescent="0.25">
      <c r="A1781" s="91" t="s">
        <v>3194</v>
      </c>
      <c r="B1781" s="67" t="s">
        <v>1552</v>
      </c>
      <c r="C1781" s="74">
        <f>27220.31*0.8*0.95</f>
        <v>20687.435600000001</v>
      </c>
      <c r="D1781" s="67" t="s">
        <v>1784</v>
      </c>
    </row>
    <row r="1782" spans="1:4" x14ac:dyDescent="0.25">
      <c r="A1782" s="91" t="s">
        <v>3195</v>
      </c>
      <c r="B1782" s="67" t="s">
        <v>1553</v>
      </c>
      <c r="C1782" s="74">
        <f>34235.54*0.8*0.95</f>
        <v>26019.010399999999</v>
      </c>
      <c r="D1782" s="67" t="s">
        <v>1784</v>
      </c>
    </row>
    <row r="1783" spans="1:4" x14ac:dyDescent="0.25">
      <c r="A1783" s="91" t="s">
        <v>3199</v>
      </c>
      <c r="B1783" s="67" t="s">
        <v>1554</v>
      </c>
      <c r="C1783" s="74">
        <f>33006.32*0.8*0.95</f>
        <v>25084.803199999998</v>
      </c>
      <c r="D1783" s="67" t="s">
        <v>1784</v>
      </c>
    </row>
    <row r="1784" spans="1:4" x14ac:dyDescent="0.25">
      <c r="A1784" s="91" t="s">
        <v>3196</v>
      </c>
      <c r="B1784" s="67" t="s">
        <v>1555</v>
      </c>
      <c r="C1784" s="74">
        <f>40144.27*0.8*0.95</f>
        <v>30509.645199999995</v>
      </c>
      <c r="D1784" s="67" t="s">
        <v>1784</v>
      </c>
    </row>
    <row r="1785" spans="1:4" x14ac:dyDescent="0.25">
      <c r="A1785" s="91" t="s">
        <v>3197</v>
      </c>
      <c r="B1785" s="67" t="s">
        <v>1556</v>
      </c>
      <c r="C1785" s="74">
        <f>47159.49*0.8*0.95</f>
        <v>35841.212399999997</v>
      </c>
      <c r="D1785" s="67" t="s">
        <v>1784</v>
      </c>
    </row>
    <row r="1786" spans="1:4" x14ac:dyDescent="0.25">
      <c r="A1786" s="91" t="s">
        <v>3200</v>
      </c>
      <c r="B1786" s="67" t="s">
        <v>1557</v>
      </c>
      <c r="C1786" s="74">
        <f>45930.28*0.8*0.95</f>
        <v>34907.012799999997</v>
      </c>
      <c r="D1786" s="67" t="s">
        <v>1784</v>
      </c>
    </row>
    <row r="1787" spans="1:4" x14ac:dyDescent="0.25">
      <c r="A1787" s="91" t="s">
        <v>3172</v>
      </c>
      <c r="B1787" s="67" t="s">
        <v>1558</v>
      </c>
      <c r="C1787" s="74">
        <f>4201.37*0.8*0.95</f>
        <v>3193.0411999999997</v>
      </c>
      <c r="D1787" s="67" t="s">
        <v>1784</v>
      </c>
    </row>
    <row r="1788" spans="1:4" x14ac:dyDescent="0.25">
      <c r="A1788" s="91" t="s">
        <v>3173</v>
      </c>
      <c r="B1788" s="67" t="s">
        <v>1559</v>
      </c>
      <c r="C1788" s="74">
        <f>6889.91*0.8*0.95</f>
        <v>5236.3315999999995</v>
      </c>
      <c r="D1788" s="67" t="s">
        <v>1784</v>
      </c>
    </row>
    <row r="1789" spans="1:4" x14ac:dyDescent="0.25">
      <c r="A1789" s="91" t="s">
        <v>3174</v>
      </c>
      <c r="B1789" s="67" t="s">
        <v>1560</v>
      </c>
      <c r="C1789" s="74">
        <f>8254.53*0.8*0.95</f>
        <v>6273.4428000000007</v>
      </c>
      <c r="D1789" s="67" t="s">
        <v>1784</v>
      </c>
    </row>
    <row r="1790" spans="1:4" x14ac:dyDescent="0.25">
      <c r="A1790" s="91" t="s">
        <v>3175</v>
      </c>
      <c r="B1790" s="67" t="s">
        <v>1561</v>
      </c>
      <c r="C1790" s="74">
        <f>12735.44*0.8*0.95</f>
        <v>9678.9344000000001</v>
      </c>
      <c r="D1790" s="67" t="s">
        <v>1784</v>
      </c>
    </row>
    <row r="1791" spans="1:4" x14ac:dyDescent="0.25">
      <c r="A1791" s="91" t="s">
        <v>3176</v>
      </c>
      <c r="B1791" s="67" t="s">
        <v>1562</v>
      </c>
      <c r="C1791" s="74">
        <f>12307.68*0.8*0.95</f>
        <v>9353.8367999999991</v>
      </c>
      <c r="D1791" s="67" t="s">
        <v>1784</v>
      </c>
    </row>
    <row r="1792" spans="1:4" x14ac:dyDescent="0.25">
      <c r="A1792" s="91" t="s">
        <v>3235</v>
      </c>
      <c r="B1792" s="67" t="s">
        <v>1563</v>
      </c>
      <c r="C1792" s="74">
        <f>801.43*0.8*0.95</f>
        <v>609.08679999999993</v>
      </c>
      <c r="D1792" s="67" t="s">
        <v>1784</v>
      </c>
    </row>
    <row r="1793" spans="1:4" x14ac:dyDescent="0.25">
      <c r="A1793" s="91" t="s">
        <v>3236</v>
      </c>
      <c r="B1793" s="67" t="s">
        <v>1564</v>
      </c>
      <c r="C1793" s="74">
        <f>938.9*0.8*0.95</f>
        <v>713.56399999999996</v>
      </c>
      <c r="D1793" s="67" t="s">
        <v>1784</v>
      </c>
    </row>
    <row r="1794" spans="1:4" x14ac:dyDescent="0.25">
      <c r="A1794" s="91" t="s">
        <v>3234</v>
      </c>
      <c r="B1794" s="67" t="s">
        <v>1565</v>
      </c>
      <c r="C1794" s="74">
        <f>600.43*0.8*0.95</f>
        <v>456.32679999999999</v>
      </c>
      <c r="D1794" s="67" t="s">
        <v>1784</v>
      </c>
    </row>
    <row r="1795" spans="1:4" x14ac:dyDescent="0.25">
      <c r="A1795" s="91" t="s">
        <v>3070</v>
      </c>
      <c r="B1795" s="67" t="s">
        <v>1566</v>
      </c>
      <c r="C1795" s="74">
        <f>3818.54*0.8*0.95</f>
        <v>2902.0904</v>
      </c>
      <c r="D1795" s="67" t="s">
        <v>1784</v>
      </c>
    </row>
    <row r="1796" spans="1:4" x14ac:dyDescent="0.25">
      <c r="A1796" s="91" t="s">
        <v>2935</v>
      </c>
      <c r="B1796" s="67" t="s">
        <v>1567</v>
      </c>
      <c r="C1796" s="74">
        <f>128*0.8*0.95</f>
        <v>97.28</v>
      </c>
      <c r="D1796" s="67" t="s">
        <v>1785</v>
      </c>
    </row>
    <row r="1797" spans="1:4" x14ac:dyDescent="0.25">
      <c r="A1797" s="91" t="s">
        <v>2936</v>
      </c>
      <c r="B1797" s="67" t="s">
        <v>1568</v>
      </c>
      <c r="C1797" s="74">
        <f>201.31*0.8*0.95</f>
        <v>152.9956</v>
      </c>
      <c r="D1797" s="67" t="s">
        <v>1785</v>
      </c>
    </row>
    <row r="1798" spans="1:4" x14ac:dyDescent="0.25">
      <c r="A1798" s="91" t="s">
        <v>2937</v>
      </c>
      <c r="B1798" s="67" t="s">
        <v>1569</v>
      </c>
      <c r="C1798" s="74">
        <f>285.28*0.8*0.95</f>
        <v>216.81279999999998</v>
      </c>
      <c r="D1798" s="67" t="s">
        <v>1785</v>
      </c>
    </row>
    <row r="1799" spans="1:4" x14ac:dyDescent="0.25">
      <c r="A1799" s="91" t="s">
        <v>2938</v>
      </c>
      <c r="B1799" s="67" t="s">
        <v>1570</v>
      </c>
      <c r="C1799" s="74">
        <f>178.97*0.8*0.95</f>
        <v>136.0172</v>
      </c>
      <c r="D1799" s="67" t="s">
        <v>1785</v>
      </c>
    </row>
    <row r="1800" spans="1:4" x14ac:dyDescent="0.25">
      <c r="A1800" s="91" t="s">
        <v>2939</v>
      </c>
      <c r="B1800" s="67" t="s">
        <v>1571</v>
      </c>
      <c r="C1800" s="74">
        <f>221.13*0.8*0.95</f>
        <v>168.05879999999999</v>
      </c>
      <c r="D1800" s="67" t="s">
        <v>1785</v>
      </c>
    </row>
    <row r="1801" spans="1:4" x14ac:dyDescent="0.25">
      <c r="A1801" s="91" t="s">
        <v>2940</v>
      </c>
      <c r="B1801" s="67" t="s">
        <v>1572</v>
      </c>
      <c r="C1801" s="74">
        <f>1300.41*0.8*0.95</f>
        <v>988.31160000000011</v>
      </c>
      <c r="D1801" s="67" t="s">
        <v>1784</v>
      </c>
    </row>
    <row r="1802" spans="1:4" x14ac:dyDescent="0.25">
      <c r="A1802" s="91" t="s">
        <v>2942</v>
      </c>
      <c r="B1802" s="67" t="s">
        <v>1573</v>
      </c>
      <c r="C1802" s="74">
        <f>1732.85*0.8*0.95</f>
        <v>1316.9659999999999</v>
      </c>
      <c r="D1802" s="67" t="s">
        <v>1784</v>
      </c>
    </row>
    <row r="1803" spans="1:4" x14ac:dyDescent="0.25">
      <c r="A1803" s="91" t="s">
        <v>2941</v>
      </c>
      <c r="B1803" s="67" t="s">
        <v>1574</v>
      </c>
      <c r="C1803" s="74">
        <f>1434.07*0.8*0.95</f>
        <v>1089.8932</v>
      </c>
      <c r="D1803" s="67" t="s">
        <v>1784</v>
      </c>
    </row>
    <row r="1804" spans="1:4" x14ac:dyDescent="0.25">
      <c r="A1804" s="91" t="s">
        <v>2943</v>
      </c>
      <c r="B1804" s="67" t="s">
        <v>1575</v>
      </c>
      <c r="C1804" s="74">
        <f>1873.55*0.8*0.95</f>
        <v>1423.8980000000001</v>
      </c>
      <c r="D1804" s="67" t="s">
        <v>1784</v>
      </c>
    </row>
    <row r="1805" spans="1:4" x14ac:dyDescent="0.25">
      <c r="A1805" s="91" t="s">
        <v>2932</v>
      </c>
      <c r="B1805" s="67" t="s">
        <v>1576</v>
      </c>
      <c r="C1805" s="74">
        <f>170.07*0.8*0.95</f>
        <v>129.25319999999999</v>
      </c>
      <c r="D1805" s="67" t="s">
        <v>1785</v>
      </c>
    </row>
    <row r="1806" spans="1:4" x14ac:dyDescent="0.25">
      <c r="A1806" s="91" t="s">
        <v>2933</v>
      </c>
      <c r="B1806" s="67" t="s">
        <v>1577</v>
      </c>
      <c r="C1806" s="74">
        <f>243.38*0.8*0.95</f>
        <v>184.96879999999999</v>
      </c>
      <c r="D1806" s="67" t="s">
        <v>1785</v>
      </c>
    </row>
    <row r="1807" spans="1:4" x14ac:dyDescent="0.25">
      <c r="A1807" s="91" t="s">
        <v>2934</v>
      </c>
      <c r="B1807" s="67" t="s">
        <v>1578</v>
      </c>
      <c r="C1807" s="74">
        <f>327.34*0.8*0.95</f>
        <v>248.7784</v>
      </c>
      <c r="D1807" s="67" t="s">
        <v>1785</v>
      </c>
    </row>
    <row r="1808" spans="1:4" x14ac:dyDescent="0.25">
      <c r="A1808" s="91" t="s">
        <v>2980</v>
      </c>
      <c r="B1808" s="67" t="s">
        <v>1579</v>
      </c>
      <c r="C1808" s="74">
        <f>425.25*0.8*0.95</f>
        <v>323.19000000000005</v>
      </c>
      <c r="D1808" s="67" t="s">
        <v>1785</v>
      </c>
    </row>
    <row r="1809" spans="1:4" x14ac:dyDescent="0.25">
      <c r="A1809" s="91" t="s">
        <v>2977</v>
      </c>
      <c r="B1809" s="67" t="s">
        <v>1580</v>
      </c>
      <c r="C1809" s="74">
        <f>370.34*0.8*0.95</f>
        <v>281.45839999999998</v>
      </c>
      <c r="D1809" s="67" t="s">
        <v>1785</v>
      </c>
    </row>
    <row r="1810" spans="1:4" x14ac:dyDescent="0.25">
      <c r="A1810" s="91" t="s">
        <v>2978</v>
      </c>
      <c r="B1810" s="67" t="s">
        <v>1581</v>
      </c>
      <c r="C1810" s="74">
        <f>385.55*0.8*0.95</f>
        <v>293.01800000000003</v>
      </c>
      <c r="D1810" s="67" t="s">
        <v>1785</v>
      </c>
    </row>
    <row r="1811" spans="1:4" x14ac:dyDescent="0.25">
      <c r="A1811" s="91" t="s">
        <v>2979</v>
      </c>
      <c r="B1811" s="67" t="s">
        <v>1582</v>
      </c>
      <c r="C1811" s="74">
        <f>376.56*0.8*0.95</f>
        <v>286.18559999999997</v>
      </c>
      <c r="D1811" s="67" t="s">
        <v>1785</v>
      </c>
    </row>
    <row r="1812" spans="1:4" x14ac:dyDescent="0.25">
      <c r="A1812" s="91" t="s">
        <v>2976</v>
      </c>
      <c r="B1812" s="67" t="s">
        <v>1583</v>
      </c>
      <c r="C1812" s="74">
        <f>310.32*0.8*0.95</f>
        <v>235.8432</v>
      </c>
      <c r="D1812" s="67" t="s">
        <v>1785</v>
      </c>
    </row>
    <row r="1813" spans="1:4" x14ac:dyDescent="0.25">
      <c r="A1813" s="91" t="s">
        <v>2967</v>
      </c>
      <c r="B1813" s="67" t="s">
        <v>1584</v>
      </c>
      <c r="C1813" s="74">
        <f>255.41*0.8*0.95</f>
        <v>194.11159999999998</v>
      </c>
      <c r="D1813" s="67" t="s">
        <v>1785</v>
      </c>
    </row>
    <row r="1814" spans="1:4" x14ac:dyDescent="0.25">
      <c r="A1814" s="91" t="s">
        <v>2970</v>
      </c>
      <c r="B1814" s="67" t="s">
        <v>1585</v>
      </c>
      <c r="C1814" s="74">
        <f>270.62*0.8*0.95</f>
        <v>205.6712</v>
      </c>
      <c r="D1814" s="67" t="s">
        <v>1785</v>
      </c>
    </row>
    <row r="1815" spans="1:4" x14ac:dyDescent="0.25">
      <c r="A1815" s="91" t="s">
        <v>2972</v>
      </c>
      <c r="B1815" s="67" t="s">
        <v>1586</v>
      </c>
      <c r="C1815" s="74">
        <f>261.64*0.8*0.95</f>
        <v>198.84639999999999</v>
      </c>
      <c r="D1815" s="67" t="s">
        <v>1785</v>
      </c>
    </row>
    <row r="1816" spans="1:4" x14ac:dyDescent="0.25">
      <c r="A1816" s="92" t="s">
        <v>2892</v>
      </c>
      <c r="B1816" s="67" t="s">
        <v>1587</v>
      </c>
      <c r="C1816" s="74">
        <f>1465.1*0.8*0.95</f>
        <v>1113.4759999999999</v>
      </c>
      <c r="D1816" s="67" t="s">
        <v>1784</v>
      </c>
    </row>
    <row r="1817" spans="1:4" x14ac:dyDescent="0.25">
      <c r="A1817" s="92" t="s">
        <v>2894</v>
      </c>
      <c r="B1817" s="67" t="s">
        <v>1588</v>
      </c>
      <c r="C1817" s="74">
        <f>1530.2*0.8*0.95</f>
        <v>1162.952</v>
      </c>
      <c r="D1817" s="67" t="s">
        <v>1784</v>
      </c>
    </row>
    <row r="1818" spans="1:4" x14ac:dyDescent="0.25">
      <c r="A1818" s="92" t="s">
        <v>2893</v>
      </c>
      <c r="B1818" s="67" t="s">
        <v>1589</v>
      </c>
      <c r="C1818" s="74">
        <f>1346.8*0.8*0.95</f>
        <v>1023.568</v>
      </c>
      <c r="D1818" s="67" t="s">
        <v>1784</v>
      </c>
    </row>
    <row r="1819" spans="1:4" x14ac:dyDescent="0.25">
      <c r="A1819" s="92" t="s">
        <v>2957</v>
      </c>
      <c r="B1819" s="67" t="s">
        <v>1590</v>
      </c>
      <c r="C1819" s="74">
        <f>2141.68*0.8*0.95</f>
        <v>1627.6768</v>
      </c>
      <c r="D1819" s="67" t="s">
        <v>1784</v>
      </c>
    </row>
    <row r="1820" spans="1:4" x14ac:dyDescent="0.25">
      <c r="A1820" s="92" t="s">
        <v>2961</v>
      </c>
      <c r="B1820" s="67" t="s">
        <v>1591</v>
      </c>
      <c r="C1820" s="74">
        <f>2136.88*0.8*0.95</f>
        <v>1624.0288</v>
      </c>
      <c r="D1820" s="67" t="s">
        <v>1784</v>
      </c>
    </row>
    <row r="1821" spans="1:4" x14ac:dyDescent="0.25">
      <c r="A1821" s="92" t="s">
        <v>2958</v>
      </c>
      <c r="B1821" s="67" t="s">
        <v>1592</v>
      </c>
      <c r="C1821" s="74">
        <f>2767.44*0.8*0.95</f>
        <v>2103.2544000000003</v>
      </c>
      <c r="D1821" s="67" t="s">
        <v>1784</v>
      </c>
    </row>
    <row r="1822" spans="1:4" x14ac:dyDescent="0.25">
      <c r="A1822" s="92" t="s">
        <v>2962</v>
      </c>
      <c r="B1822" s="67" t="s">
        <v>1593</v>
      </c>
      <c r="C1822" s="74">
        <f>2762.64*0.8*0.95</f>
        <v>2099.6064000000001</v>
      </c>
      <c r="D1822" s="67" t="s">
        <v>1784</v>
      </c>
    </row>
    <row r="1823" spans="1:4" x14ac:dyDescent="0.25">
      <c r="A1823" s="92" t="s">
        <v>2959</v>
      </c>
      <c r="B1823" s="67" t="s">
        <v>1594</v>
      </c>
      <c r="C1823" s="74">
        <f>3333.61*0.8*0.95</f>
        <v>2533.5436000000004</v>
      </c>
      <c r="D1823" s="67" t="s">
        <v>1784</v>
      </c>
    </row>
    <row r="1824" spans="1:4" x14ac:dyDescent="0.25">
      <c r="A1824" s="92" t="s">
        <v>2963</v>
      </c>
      <c r="B1824" s="67" t="s">
        <v>1595</v>
      </c>
      <c r="C1824" s="74">
        <f>3328.81*0.8*0.95</f>
        <v>2529.8956000000003</v>
      </c>
      <c r="D1824" s="67" t="s">
        <v>1784</v>
      </c>
    </row>
    <row r="1825" spans="1:4" x14ac:dyDescent="0.25">
      <c r="A1825" s="92" t="s">
        <v>2960</v>
      </c>
      <c r="B1825" s="67" t="s">
        <v>1596</v>
      </c>
      <c r="C1825" s="74">
        <f>3895.52*0.8*0.95</f>
        <v>2960.5952000000002</v>
      </c>
      <c r="D1825" s="67" t="s">
        <v>1784</v>
      </c>
    </row>
    <row r="1826" spans="1:4" x14ac:dyDescent="0.25">
      <c r="A1826" s="92" t="s">
        <v>2964</v>
      </c>
      <c r="B1826" s="67" t="s">
        <v>1597</v>
      </c>
      <c r="C1826" s="74">
        <f>3890.72*0.8*0.95</f>
        <v>2956.9472000000001</v>
      </c>
      <c r="D1826" s="67" t="s">
        <v>1784</v>
      </c>
    </row>
    <row r="1827" spans="1:4" x14ac:dyDescent="0.25">
      <c r="A1827" s="91" t="s">
        <v>3013</v>
      </c>
      <c r="B1827" s="67" t="s">
        <v>1598</v>
      </c>
      <c r="C1827" s="74">
        <f>2659.97*0.8*0.95</f>
        <v>2021.5771999999999</v>
      </c>
      <c r="D1827" s="67" t="s">
        <v>1784</v>
      </c>
    </row>
    <row r="1828" spans="1:4" x14ac:dyDescent="0.25">
      <c r="A1828" s="91" t="s">
        <v>3011</v>
      </c>
      <c r="B1828" s="67" t="s">
        <v>1599</v>
      </c>
      <c r="C1828" s="74">
        <f>2336.65*0.8*0.95</f>
        <v>1775.854</v>
      </c>
      <c r="D1828" s="67" t="s">
        <v>1784</v>
      </c>
    </row>
    <row r="1829" spans="1:4" x14ac:dyDescent="0.25">
      <c r="A1829" s="91" t="s">
        <v>3012</v>
      </c>
      <c r="B1829" s="67" t="s">
        <v>1600</v>
      </c>
      <c r="C1829" s="74">
        <f>2861.6*0.8*0.95</f>
        <v>2174.8160000000003</v>
      </c>
      <c r="D1829" s="67" t="s">
        <v>1784</v>
      </c>
    </row>
    <row r="1830" spans="1:4" x14ac:dyDescent="0.25">
      <c r="A1830" s="91" t="s">
        <v>3010</v>
      </c>
      <c r="B1830" s="67" t="s">
        <v>1601</v>
      </c>
      <c r="C1830" s="74">
        <f>2676.51*0.8*0.95</f>
        <v>2034.1476</v>
      </c>
      <c r="D1830" s="67" t="s">
        <v>1784</v>
      </c>
    </row>
    <row r="1831" spans="1:4" x14ac:dyDescent="0.25">
      <c r="A1831" s="92" t="s">
        <v>3008</v>
      </c>
      <c r="B1831" s="67" t="s">
        <v>1602</v>
      </c>
      <c r="C1831" s="74">
        <f>2336.65*0.8*0.95</f>
        <v>1775.854</v>
      </c>
      <c r="D1831" s="67" t="s">
        <v>1784</v>
      </c>
    </row>
    <row r="1832" spans="1:4" x14ac:dyDescent="0.25">
      <c r="A1832" s="91" t="s">
        <v>3009</v>
      </c>
      <c r="B1832" s="67" t="s">
        <v>1603</v>
      </c>
      <c r="C1832" s="74">
        <f>2878.14*0.8*0.95</f>
        <v>2187.3863999999999</v>
      </c>
      <c r="D1832" s="67" t="s">
        <v>1784</v>
      </c>
    </row>
    <row r="1833" spans="1:4" x14ac:dyDescent="0.25">
      <c r="A1833" s="91" t="s">
        <v>2856</v>
      </c>
      <c r="B1833" s="67" t="s">
        <v>1604</v>
      </c>
      <c r="C1833" s="74">
        <f>407.19*0.8*0.95</f>
        <v>309.46440000000001</v>
      </c>
      <c r="D1833" s="67" t="s">
        <v>1784</v>
      </c>
    </row>
    <row r="1834" spans="1:4" x14ac:dyDescent="0.25">
      <c r="A1834" s="91" t="s">
        <v>2855</v>
      </c>
      <c r="B1834" s="67" t="s">
        <v>1605</v>
      </c>
      <c r="C1834" s="74">
        <f>193.91*0.8*0.95</f>
        <v>147.3716</v>
      </c>
      <c r="D1834" s="67" t="s">
        <v>1784</v>
      </c>
    </row>
    <row r="1835" spans="1:4" x14ac:dyDescent="0.25">
      <c r="A1835" s="91" t="s">
        <v>3054</v>
      </c>
      <c r="B1835" s="67" t="s">
        <v>1606</v>
      </c>
      <c r="C1835" s="74">
        <f>293.02*0.8*0.95</f>
        <v>222.6952</v>
      </c>
      <c r="D1835" s="67" t="s">
        <v>1785</v>
      </c>
    </row>
    <row r="1836" spans="1:4" ht="15.75" x14ac:dyDescent="0.25">
      <c r="A1836" s="94" t="s">
        <v>2434</v>
      </c>
      <c r="B1836" s="67">
        <v>5447</v>
      </c>
      <c r="C1836" s="75">
        <v>700</v>
      </c>
      <c r="D1836" s="67" t="s">
        <v>1784</v>
      </c>
    </row>
    <row r="1837" spans="1:4" ht="15.75" x14ac:dyDescent="0.25">
      <c r="A1837" s="94" t="s">
        <v>1976</v>
      </c>
      <c r="B1837" s="67">
        <v>2702</v>
      </c>
      <c r="C1837" s="75">
        <v>2361</v>
      </c>
      <c r="D1837" s="67" t="s">
        <v>1784</v>
      </c>
    </row>
    <row r="1838" spans="1:4" ht="15.75" x14ac:dyDescent="0.25">
      <c r="A1838" s="94" t="s">
        <v>1977</v>
      </c>
      <c r="B1838" s="67">
        <v>2595</v>
      </c>
      <c r="C1838" s="75">
        <v>847</v>
      </c>
      <c r="D1838" s="67" t="s">
        <v>1784</v>
      </c>
    </row>
    <row r="1839" spans="1:4" ht="15.75" x14ac:dyDescent="0.25">
      <c r="A1839" s="94" t="s">
        <v>1978</v>
      </c>
      <c r="B1839" s="67">
        <v>2670</v>
      </c>
      <c r="C1839" s="75">
        <v>1125</v>
      </c>
      <c r="D1839" s="67" t="s">
        <v>1784</v>
      </c>
    </row>
    <row r="1840" spans="1:4" ht="15.75" x14ac:dyDescent="0.25">
      <c r="A1840" s="94" t="s">
        <v>2068</v>
      </c>
      <c r="B1840" s="67">
        <v>3310</v>
      </c>
      <c r="C1840" s="75">
        <v>3267</v>
      </c>
      <c r="D1840" s="67" t="s">
        <v>1784</v>
      </c>
    </row>
    <row r="1841" spans="1:4" ht="15.75" x14ac:dyDescent="0.25">
      <c r="A1841" s="94" t="s">
        <v>2069</v>
      </c>
      <c r="B1841" s="67">
        <v>2985</v>
      </c>
      <c r="C1841" s="75">
        <v>1322</v>
      </c>
      <c r="D1841" s="67" t="s">
        <v>1784</v>
      </c>
    </row>
    <row r="1842" spans="1:4" ht="15.75" x14ac:dyDescent="0.25">
      <c r="A1842" s="94" t="s">
        <v>2070</v>
      </c>
      <c r="B1842" s="67">
        <v>2996</v>
      </c>
      <c r="C1842" s="75">
        <v>1435</v>
      </c>
      <c r="D1842" s="67" t="s">
        <v>1784</v>
      </c>
    </row>
    <row r="1843" spans="1:4" ht="15.75" x14ac:dyDescent="0.25">
      <c r="A1843" s="94" t="s">
        <v>2071</v>
      </c>
      <c r="B1843" s="67">
        <v>3108</v>
      </c>
      <c r="C1843" s="75">
        <v>1638</v>
      </c>
      <c r="D1843" s="67" t="s">
        <v>1784</v>
      </c>
    </row>
    <row r="1844" spans="1:4" ht="15.75" x14ac:dyDescent="0.25">
      <c r="A1844" s="94" t="s">
        <v>2185</v>
      </c>
      <c r="B1844" s="67">
        <v>1645</v>
      </c>
      <c r="C1844" s="75">
        <v>5048</v>
      </c>
      <c r="D1844" s="67" t="s">
        <v>1784</v>
      </c>
    </row>
    <row r="1845" spans="1:4" ht="15.75" x14ac:dyDescent="0.25">
      <c r="A1845" s="94" t="s">
        <v>2186</v>
      </c>
      <c r="B1845" s="67">
        <v>3831</v>
      </c>
      <c r="C1845" s="75">
        <v>871</v>
      </c>
      <c r="D1845" s="67" t="s">
        <v>1784</v>
      </c>
    </row>
    <row r="1846" spans="1:4" ht="15.75" x14ac:dyDescent="0.25">
      <c r="A1846" s="94" t="s">
        <v>2187</v>
      </c>
      <c r="B1846" s="67">
        <v>3798</v>
      </c>
      <c r="C1846" s="75">
        <v>974</v>
      </c>
      <c r="D1846" s="67" t="s">
        <v>1784</v>
      </c>
    </row>
    <row r="1847" spans="1:4" ht="15.75" x14ac:dyDescent="0.25">
      <c r="A1847" s="94" t="s">
        <v>2188</v>
      </c>
      <c r="B1847" s="67">
        <v>1015</v>
      </c>
      <c r="C1847" s="75">
        <v>1262</v>
      </c>
      <c r="D1847" s="67" t="s">
        <v>1784</v>
      </c>
    </row>
    <row r="1848" spans="1:4" ht="15.75" x14ac:dyDescent="0.25">
      <c r="A1848" s="94" t="s">
        <v>2189</v>
      </c>
      <c r="B1848" s="67">
        <v>1028</v>
      </c>
      <c r="C1848" s="75">
        <v>1128</v>
      </c>
      <c r="D1848" s="67" t="s">
        <v>1784</v>
      </c>
    </row>
    <row r="1849" spans="1:4" ht="15.75" x14ac:dyDescent="0.25">
      <c r="A1849" s="94" t="s">
        <v>2190</v>
      </c>
      <c r="B1849" s="67">
        <v>3533</v>
      </c>
      <c r="C1849" s="75">
        <v>1186</v>
      </c>
      <c r="D1849" s="67" t="s">
        <v>1784</v>
      </c>
    </row>
    <row r="1850" spans="1:4" ht="15.75" x14ac:dyDescent="0.25">
      <c r="A1850" s="94" t="s">
        <v>2191</v>
      </c>
      <c r="B1850" s="67">
        <v>3381</v>
      </c>
      <c r="C1850" s="75">
        <v>2311</v>
      </c>
      <c r="D1850" s="67" t="s">
        <v>1784</v>
      </c>
    </row>
    <row r="1851" spans="1:4" ht="15.75" x14ac:dyDescent="0.25">
      <c r="A1851" s="94" t="s">
        <v>2192</v>
      </c>
      <c r="B1851" s="67">
        <v>1368</v>
      </c>
      <c r="C1851" s="75">
        <v>5302</v>
      </c>
      <c r="D1851" s="67" t="s">
        <v>1784</v>
      </c>
    </row>
    <row r="1852" spans="1:4" ht="15.75" x14ac:dyDescent="0.25">
      <c r="A1852" s="94" t="s">
        <v>2469</v>
      </c>
      <c r="B1852" s="67">
        <v>4513</v>
      </c>
      <c r="C1852" s="75">
        <v>2184</v>
      </c>
      <c r="D1852" s="67" t="s">
        <v>1784</v>
      </c>
    </row>
    <row r="1853" spans="1:4" ht="15.75" x14ac:dyDescent="0.25">
      <c r="A1853" s="94" t="s">
        <v>2193</v>
      </c>
      <c r="B1853" s="67">
        <v>1026</v>
      </c>
      <c r="C1853" s="75">
        <v>4875</v>
      </c>
      <c r="D1853" s="67" t="s">
        <v>1784</v>
      </c>
    </row>
    <row r="1854" spans="1:4" ht="15.75" x14ac:dyDescent="0.25">
      <c r="A1854" s="94" t="s">
        <v>2194</v>
      </c>
      <c r="B1854" s="67">
        <v>3133</v>
      </c>
      <c r="C1854" s="75">
        <v>4345</v>
      </c>
      <c r="D1854" s="67" t="s">
        <v>1784</v>
      </c>
    </row>
    <row r="1855" spans="1:4" ht="15.75" x14ac:dyDescent="0.25">
      <c r="A1855" s="94" t="s">
        <v>2195</v>
      </c>
      <c r="B1855" s="67">
        <v>1723</v>
      </c>
      <c r="C1855" s="75">
        <v>2737</v>
      </c>
      <c r="D1855" s="67" t="s">
        <v>1784</v>
      </c>
    </row>
    <row r="1856" spans="1:4" ht="15.75" x14ac:dyDescent="0.25">
      <c r="A1856" s="94" t="s">
        <v>2196</v>
      </c>
      <c r="B1856" s="67">
        <v>1027</v>
      </c>
      <c r="C1856" s="75">
        <v>5348</v>
      </c>
      <c r="D1856" s="67" t="s">
        <v>1784</v>
      </c>
    </row>
    <row r="1857" spans="1:4" ht="15.75" x14ac:dyDescent="0.25">
      <c r="A1857" s="94" t="s">
        <v>2197</v>
      </c>
      <c r="B1857" s="67">
        <v>1574</v>
      </c>
      <c r="C1857" s="75">
        <v>4915</v>
      </c>
      <c r="D1857" s="67" t="s">
        <v>1784</v>
      </c>
    </row>
    <row r="1858" spans="1:4" ht="15.75" x14ac:dyDescent="0.25">
      <c r="A1858" s="94" t="s">
        <v>2198</v>
      </c>
      <c r="B1858" s="67">
        <v>3735</v>
      </c>
      <c r="C1858" s="75">
        <v>3452</v>
      </c>
      <c r="D1858" s="67" t="s">
        <v>1784</v>
      </c>
    </row>
    <row r="1859" spans="1:4" ht="15.75" x14ac:dyDescent="0.25">
      <c r="A1859" s="94" t="s">
        <v>2199</v>
      </c>
      <c r="B1859" s="67">
        <v>1654</v>
      </c>
      <c r="C1859" s="75">
        <v>1458</v>
      </c>
      <c r="D1859" s="67" t="s">
        <v>1784</v>
      </c>
    </row>
    <row r="1860" spans="1:4" ht="15.75" x14ac:dyDescent="0.25">
      <c r="A1860" s="94" t="s">
        <v>2336</v>
      </c>
      <c r="B1860" s="67">
        <v>4432</v>
      </c>
      <c r="C1860" s="75">
        <v>5382</v>
      </c>
      <c r="D1860" s="67" t="s">
        <v>1784</v>
      </c>
    </row>
    <row r="1861" spans="1:4" ht="15.75" x14ac:dyDescent="0.25">
      <c r="A1861" s="94" t="s">
        <v>2337</v>
      </c>
      <c r="B1861" s="67">
        <v>4217</v>
      </c>
      <c r="C1861" s="75">
        <v>1359</v>
      </c>
      <c r="D1861" s="67" t="s">
        <v>1784</v>
      </c>
    </row>
    <row r="1862" spans="1:4" ht="15.75" x14ac:dyDescent="0.25">
      <c r="A1862" s="94" t="s">
        <v>2338</v>
      </c>
      <c r="B1862" s="67">
        <v>4218</v>
      </c>
      <c r="C1862" s="75">
        <v>1713</v>
      </c>
      <c r="D1862" s="67" t="s">
        <v>1784</v>
      </c>
    </row>
    <row r="1863" spans="1:4" ht="15.75" x14ac:dyDescent="0.25">
      <c r="A1863" s="94" t="s">
        <v>2339</v>
      </c>
      <c r="B1863" s="67">
        <v>4708</v>
      </c>
      <c r="C1863" s="75">
        <v>2488</v>
      </c>
      <c r="D1863" s="67" t="s">
        <v>1784</v>
      </c>
    </row>
    <row r="1864" spans="1:4" ht="15.75" x14ac:dyDescent="0.25">
      <c r="A1864" s="94" t="s">
        <v>2419</v>
      </c>
      <c r="B1864" s="67">
        <v>2673</v>
      </c>
      <c r="C1864" s="75">
        <v>3081</v>
      </c>
      <c r="D1864" s="67" t="s">
        <v>1784</v>
      </c>
    </row>
    <row r="1865" spans="1:4" ht="15.75" x14ac:dyDescent="0.25">
      <c r="A1865" s="94" t="s">
        <v>2435</v>
      </c>
      <c r="B1865" s="67">
        <v>5432</v>
      </c>
      <c r="C1865" s="75">
        <v>2996</v>
      </c>
      <c r="D1865" s="67" t="s">
        <v>1784</v>
      </c>
    </row>
    <row r="1866" spans="1:4" ht="15.75" x14ac:dyDescent="0.25">
      <c r="A1866" s="94" t="s">
        <v>2436</v>
      </c>
      <c r="B1866" s="67">
        <v>3272</v>
      </c>
      <c r="C1866" s="75">
        <v>6283</v>
      </c>
      <c r="D1866" s="67" t="s">
        <v>1784</v>
      </c>
    </row>
    <row r="1867" spans="1:4" ht="15.75" x14ac:dyDescent="0.25">
      <c r="A1867" s="94" t="s">
        <v>2470</v>
      </c>
      <c r="B1867" s="67">
        <v>4554</v>
      </c>
      <c r="C1867" s="75">
        <v>10946</v>
      </c>
      <c r="D1867" s="67" t="s">
        <v>1784</v>
      </c>
    </row>
    <row r="1868" spans="1:4" ht="15.75" x14ac:dyDescent="0.25">
      <c r="A1868" s="94" t="s">
        <v>2471</v>
      </c>
      <c r="B1868" s="67">
        <v>4857</v>
      </c>
      <c r="C1868" s="75">
        <v>14586</v>
      </c>
      <c r="D1868" s="67" t="s">
        <v>1784</v>
      </c>
    </row>
    <row r="1869" spans="1:4" ht="15.75" x14ac:dyDescent="0.25">
      <c r="A1869" s="94" t="s">
        <v>2472</v>
      </c>
      <c r="B1869" s="67">
        <v>1510</v>
      </c>
      <c r="C1869" s="75">
        <v>14759</v>
      </c>
      <c r="D1869" s="67" t="s">
        <v>1784</v>
      </c>
    </row>
    <row r="1870" spans="1:4" ht="15.75" x14ac:dyDescent="0.25">
      <c r="A1870" s="94" t="s">
        <v>2473</v>
      </c>
      <c r="B1870" s="67">
        <v>4469</v>
      </c>
      <c r="C1870" s="75">
        <v>7965</v>
      </c>
      <c r="D1870" s="67" t="s">
        <v>1784</v>
      </c>
    </row>
    <row r="1871" spans="1:4" ht="15.75" x14ac:dyDescent="0.25">
      <c r="A1871" s="94" t="s">
        <v>2474</v>
      </c>
      <c r="B1871" s="67">
        <v>2711</v>
      </c>
      <c r="C1871" s="75">
        <v>968</v>
      </c>
      <c r="D1871" s="67" t="s">
        <v>1784</v>
      </c>
    </row>
    <row r="1872" spans="1:4" ht="15.75" x14ac:dyDescent="0.25">
      <c r="A1872" s="94" t="s">
        <v>2475</v>
      </c>
      <c r="B1872" s="67">
        <v>1418</v>
      </c>
      <c r="C1872" s="75">
        <v>4334</v>
      </c>
      <c r="D1872" s="67" t="s">
        <v>1784</v>
      </c>
    </row>
    <row r="1873" spans="1:4" ht="15.75" x14ac:dyDescent="0.25">
      <c r="A1873" s="94" t="s">
        <v>2483</v>
      </c>
      <c r="B1873" s="67">
        <v>4121</v>
      </c>
      <c r="C1873" s="75">
        <v>6027</v>
      </c>
      <c r="D1873" s="67" t="s">
        <v>1784</v>
      </c>
    </row>
    <row r="1874" spans="1:4" ht="15.75" x14ac:dyDescent="0.25">
      <c r="A1874" s="94" t="s">
        <v>2484</v>
      </c>
      <c r="B1874" s="67">
        <v>4314</v>
      </c>
      <c r="C1874" s="75">
        <v>8650</v>
      </c>
      <c r="D1874" s="67" t="s">
        <v>1784</v>
      </c>
    </row>
    <row r="1875" spans="1:4" ht="15.75" x14ac:dyDescent="0.25">
      <c r="A1875" s="94" t="s">
        <v>2485</v>
      </c>
      <c r="B1875" s="67">
        <v>4344</v>
      </c>
      <c r="C1875" s="75">
        <v>12300</v>
      </c>
      <c r="D1875" s="67" t="s">
        <v>1784</v>
      </c>
    </row>
    <row r="1876" spans="1:4" ht="15.75" x14ac:dyDescent="0.25">
      <c r="A1876" s="94" t="s">
        <v>2486</v>
      </c>
      <c r="B1876" s="67">
        <v>4208</v>
      </c>
      <c r="C1876" s="75">
        <v>3086</v>
      </c>
      <c r="D1876" s="67" t="s">
        <v>1784</v>
      </c>
    </row>
    <row r="1877" spans="1:4" ht="15.75" x14ac:dyDescent="0.25">
      <c r="A1877" s="94" t="s">
        <v>2487</v>
      </c>
      <c r="B1877" s="67">
        <v>4439</v>
      </c>
      <c r="C1877" s="75">
        <v>3941</v>
      </c>
      <c r="D1877" s="67" t="s">
        <v>1784</v>
      </c>
    </row>
    <row r="1878" spans="1:4" ht="15.75" x14ac:dyDescent="0.25">
      <c r="A1878" s="94" t="s">
        <v>2488</v>
      </c>
      <c r="B1878" s="67">
        <v>4342</v>
      </c>
      <c r="C1878" s="75">
        <v>7657</v>
      </c>
      <c r="D1878" s="67" t="s">
        <v>1784</v>
      </c>
    </row>
    <row r="1879" spans="1:4" ht="15.75" x14ac:dyDescent="0.25">
      <c r="A1879" s="94" t="s">
        <v>2489</v>
      </c>
      <c r="B1879" s="67">
        <v>5241</v>
      </c>
      <c r="C1879" s="75">
        <v>8790</v>
      </c>
      <c r="D1879" s="67" t="s">
        <v>1784</v>
      </c>
    </row>
    <row r="1880" spans="1:4" ht="15.75" x14ac:dyDescent="0.25">
      <c r="A1880" s="94" t="s">
        <v>2490</v>
      </c>
      <c r="B1880" s="67">
        <v>4585</v>
      </c>
      <c r="C1880" s="75">
        <v>8788</v>
      </c>
      <c r="D1880" s="67" t="s">
        <v>1784</v>
      </c>
    </row>
    <row r="1881" spans="1:4" ht="15.75" x14ac:dyDescent="0.25">
      <c r="A1881" s="94" t="s">
        <v>2491</v>
      </c>
      <c r="B1881" s="67">
        <v>4583</v>
      </c>
      <c r="C1881" s="75">
        <v>9139</v>
      </c>
      <c r="D1881" s="67" t="s">
        <v>1784</v>
      </c>
    </row>
    <row r="1882" spans="1:4" ht="15.75" x14ac:dyDescent="0.25">
      <c r="A1882" s="94" t="s">
        <v>2543</v>
      </c>
      <c r="B1882" s="67">
        <v>2700</v>
      </c>
      <c r="C1882" s="75">
        <v>5124</v>
      </c>
      <c r="D1882" s="67" t="s">
        <v>1784</v>
      </c>
    </row>
    <row r="1883" spans="1:4" ht="15.75" x14ac:dyDescent="0.25">
      <c r="A1883" s="94" t="s">
        <v>2544</v>
      </c>
      <c r="B1883" s="67">
        <v>2749</v>
      </c>
      <c r="C1883" s="75">
        <v>1881</v>
      </c>
      <c r="D1883" s="67" t="s">
        <v>1784</v>
      </c>
    </row>
    <row r="1884" spans="1:4" ht="15.75" x14ac:dyDescent="0.25">
      <c r="A1884" s="94" t="s">
        <v>2545</v>
      </c>
      <c r="B1884" s="67">
        <v>2880</v>
      </c>
      <c r="C1884" s="75">
        <v>53</v>
      </c>
      <c r="D1884" s="67" t="s">
        <v>1784</v>
      </c>
    </row>
    <row r="1885" spans="1:4" ht="15.75" x14ac:dyDescent="0.25">
      <c r="A1885" s="94" t="s">
        <v>2546</v>
      </c>
      <c r="B1885" s="67">
        <v>2878</v>
      </c>
      <c r="C1885" s="75">
        <v>29</v>
      </c>
      <c r="D1885" s="67" t="s">
        <v>1784</v>
      </c>
    </row>
    <row r="1886" spans="1:4" ht="15.75" x14ac:dyDescent="0.25">
      <c r="A1886" s="94" t="s">
        <v>2547</v>
      </c>
      <c r="B1886" s="67">
        <v>2875</v>
      </c>
      <c r="C1886" s="75">
        <v>28</v>
      </c>
      <c r="D1886" s="67" t="s">
        <v>1784</v>
      </c>
    </row>
    <row r="1887" spans="1:4" ht="15.75" x14ac:dyDescent="0.25">
      <c r="A1887" s="94" t="s">
        <v>2400</v>
      </c>
      <c r="B1887" s="67">
        <v>2877</v>
      </c>
      <c r="C1887" s="75">
        <v>29</v>
      </c>
      <c r="D1887" s="67" t="s">
        <v>1784</v>
      </c>
    </row>
    <row r="1888" spans="1:4" ht="15.75" x14ac:dyDescent="0.25">
      <c r="A1888" s="94" t="s">
        <v>2548</v>
      </c>
      <c r="B1888" s="67">
        <v>2879</v>
      </c>
      <c r="C1888" s="75">
        <v>41</v>
      </c>
      <c r="D1888" s="67" t="s">
        <v>1784</v>
      </c>
    </row>
    <row r="1889" spans="1:4" ht="15.75" x14ac:dyDescent="0.25">
      <c r="A1889" s="94" t="s">
        <v>2401</v>
      </c>
      <c r="B1889" s="67">
        <v>2876</v>
      </c>
      <c r="C1889" s="75">
        <v>29</v>
      </c>
      <c r="D1889" s="67" t="s">
        <v>1784</v>
      </c>
    </row>
    <row r="1890" spans="1:4" ht="15.75" x14ac:dyDescent="0.25">
      <c r="A1890" s="94" t="s">
        <v>2550</v>
      </c>
      <c r="B1890" s="67">
        <v>2249</v>
      </c>
      <c r="C1890" s="75">
        <v>295</v>
      </c>
      <c r="D1890" s="67" t="s">
        <v>1784</v>
      </c>
    </row>
    <row r="1891" spans="1:4" ht="15.75" x14ac:dyDescent="0.25">
      <c r="A1891" s="94" t="s">
        <v>2551</v>
      </c>
      <c r="B1891" s="67">
        <v>2248</v>
      </c>
      <c r="C1891" s="75">
        <v>375</v>
      </c>
      <c r="D1891" s="67" t="s">
        <v>1784</v>
      </c>
    </row>
    <row r="1892" spans="1:4" ht="15.75" x14ac:dyDescent="0.25">
      <c r="A1892" s="94" t="s">
        <v>2552</v>
      </c>
      <c r="B1892" s="67">
        <v>2234</v>
      </c>
      <c r="C1892" s="75">
        <v>395</v>
      </c>
      <c r="D1892" s="67" t="s">
        <v>1784</v>
      </c>
    </row>
    <row r="1893" spans="1:4" ht="15.75" x14ac:dyDescent="0.25">
      <c r="A1893" s="94" t="s">
        <v>2553</v>
      </c>
      <c r="B1893" s="67">
        <v>2416</v>
      </c>
      <c r="C1893" s="75">
        <v>89</v>
      </c>
      <c r="D1893" s="67" t="s">
        <v>1784</v>
      </c>
    </row>
    <row r="1894" spans="1:4" ht="15.75" x14ac:dyDescent="0.25">
      <c r="A1894" s="94" t="s">
        <v>2554</v>
      </c>
      <c r="B1894" s="67">
        <v>2397</v>
      </c>
      <c r="C1894" s="75">
        <v>120</v>
      </c>
      <c r="D1894" s="67" t="s">
        <v>1784</v>
      </c>
    </row>
    <row r="1895" spans="1:4" ht="15.75" x14ac:dyDescent="0.25">
      <c r="A1895" s="94" t="s">
        <v>2555</v>
      </c>
      <c r="B1895" s="67">
        <v>2387</v>
      </c>
      <c r="C1895" s="75">
        <v>149</v>
      </c>
      <c r="D1895" s="67" t="s">
        <v>1784</v>
      </c>
    </row>
    <row r="1896" spans="1:4" ht="15.75" x14ac:dyDescent="0.25">
      <c r="A1896" s="94" t="s">
        <v>2556</v>
      </c>
      <c r="B1896" s="67">
        <v>2370</v>
      </c>
      <c r="C1896" s="75">
        <v>135</v>
      </c>
      <c r="D1896" s="67" t="s">
        <v>1784</v>
      </c>
    </row>
    <row r="1897" spans="1:4" ht="15.75" x14ac:dyDescent="0.25">
      <c r="A1897" s="94" t="s">
        <v>2557</v>
      </c>
      <c r="B1897" s="67">
        <v>2337</v>
      </c>
      <c r="C1897" s="75">
        <v>159</v>
      </c>
      <c r="D1897" s="67" t="s">
        <v>1784</v>
      </c>
    </row>
    <row r="1898" spans="1:4" ht="15.75" x14ac:dyDescent="0.25">
      <c r="A1898" s="94" t="s">
        <v>2558</v>
      </c>
      <c r="B1898" s="67">
        <v>2276</v>
      </c>
      <c r="C1898" s="75">
        <v>195</v>
      </c>
      <c r="D1898" s="67" t="s">
        <v>1784</v>
      </c>
    </row>
    <row r="1899" spans="1:4" ht="15.75" x14ac:dyDescent="0.25">
      <c r="A1899" s="94" t="s">
        <v>2559</v>
      </c>
      <c r="B1899" s="67">
        <v>2226</v>
      </c>
      <c r="C1899" s="75">
        <v>475</v>
      </c>
      <c r="D1899" s="67" t="s">
        <v>1784</v>
      </c>
    </row>
    <row r="1900" spans="1:4" ht="15.75" x14ac:dyDescent="0.25">
      <c r="A1900" s="94" t="s">
        <v>2560</v>
      </c>
      <c r="B1900" s="67">
        <v>2177</v>
      </c>
      <c r="C1900" s="75">
        <v>545</v>
      </c>
      <c r="D1900" s="67" t="s">
        <v>1784</v>
      </c>
    </row>
    <row r="1901" spans="1:4" ht="15.75" x14ac:dyDescent="0.25">
      <c r="A1901" s="94" t="s">
        <v>2561</v>
      </c>
      <c r="B1901" s="67">
        <v>2165</v>
      </c>
      <c r="C1901" s="75">
        <v>645</v>
      </c>
      <c r="D1901" s="67" t="s">
        <v>1784</v>
      </c>
    </row>
    <row r="1902" spans="1:4" ht="15.75" x14ac:dyDescent="0.25">
      <c r="A1902" s="94" t="s">
        <v>1981</v>
      </c>
      <c r="B1902" s="67">
        <v>3141</v>
      </c>
      <c r="C1902" s="75">
        <v>4000</v>
      </c>
      <c r="D1902" s="67" t="s">
        <v>1784</v>
      </c>
    </row>
    <row r="1903" spans="1:4" ht="15.75" x14ac:dyDescent="0.25">
      <c r="A1903" s="94" t="s">
        <v>1982</v>
      </c>
      <c r="B1903" s="67">
        <v>3360</v>
      </c>
      <c r="C1903" s="75">
        <v>10874</v>
      </c>
      <c r="D1903" s="67" t="s">
        <v>1784</v>
      </c>
    </row>
    <row r="1904" spans="1:4" ht="15.75" x14ac:dyDescent="0.25">
      <c r="A1904" s="94" t="s">
        <v>1983</v>
      </c>
      <c r="B1904" s="67">
        <v>2432</v>
      </c>
      <c r="C1904" s="75">
        <v>2664</v>
      </c>
      <c r="D1904" s="67" t="s">
        <v>1784</v>
      </c>
    </row>
    <row r="1905" spans="1:4" ht="15.75" x14ac:dyDescent="0.25">
      <c r="A1905" s="94" t="s">
        <v>1984</v>
      </c>
      <c r="B1905" s="67">
        <v>2580</v>
      </c>
      <c r="C1905" s="75">
        <v>6028</v>
      </c>
      <c r="D1905" s="67" t="s">
        <v>1784</v>
      </c>
    </row>
    <row r="1906" spans="1:4" ht="15.75" x14ac:dyDescent="0.25">
      <c r="A1906" s="94" t="s">
        <v>1985</v>
      </c>
      <c r="B1906" s="67">
        <v>2520</v>
      </c>
      <c r="C1906" s="75">
        <v>3637</v>
      </c>
      <c r="D1906" s="67" t="s">
        <v>1784</v>
      </c>
    </row>
    <row r="1907" spans="1:4" ht="15.75" x14ac:dyDescent="0.25">
      <c r="A1907" s="94" t="s">
        <v>1986</v>
      </c>
      <c r="B1907" s="67">
        <v>2521</v>
      </c>
      <c r="C1907" s="75">
        <v>3031</v>
      </c>
      <c r="D1907" s="67" t="s">
        <v>1784</v>
      </c>
    </row>
    <row r="1908" spans="1:4" ht="15.75" x14ac:dyDescent="0.25">
      <c r="A1908" s="94" t="s">
        <v>1987</v>
      </c>
      <c r="B1908" s="67">
        <v>3355</v>
      </c>
      <c r="C1908" s="75">
        <v>28152</v>
      </c>
      <c r="D1908" s="67" t="s">
        <v>1784</v>
      </c>
    </row>
    <row r="1909" spans="1:4" ht="15.75" x14ac:dyDescent="0.25">
      <c r="A1909" s="94" t="s">
        <v>1988</v>
      </c>
      <c r="B1909" s="67">
        <v>2698</v>
      </c>
      <c r="C1909" s="75">
        <v>16355</v>
      </c>
      <c r="D1909" s="67" t="s">
        <v>1784</v>
      </c>
    </row>
    <row r="1910" spans="1:4" ht="15.75" x14ac:dyDescent="0.25">
      <c r="A1910" s="94" t="s">
        <v>1989</v>
      </c>
      <c r="B1910" s="67">
        <v>2631</v>
      </c>
      <c r="C1910" s="75">
        <v>10443</v>
      </c>
      <c r="D1910" s="67" t="s">
        <v>1784</v>
      </c>
    </row>
    <row r="1911" spans="1:4" ht="15.75" x14ac:dyDescent="0.25">
      <c r="A1911" s="94" t="s">
        <v>1990</v>
      </c>
      <c r="B1911" s="67">
        <v>3352</v>
      </c>
      <c r="C1911" s="75">
        <v>19283</v>
      </c>
      <c r="D1911" s="67" t="s">
        <v>1784</v>
      </c>
    </row>
    <row r="1912" spans="1:4" ht="15.75" x14ac:dyDescent="0.25">
      <c r="A1912" s="94" t="s">
        <v>1991</v>
      </c>
      <c r="B1912" s="67">
        <v>3350</v>
      </c>
      <c r="C1912" s="75">
        <v>16924</v>
      </c>
      <c r="D1912" s="67" t="s">
        <v>1784</v>
      </c>
    </row>
    <row r="1913" spans="1:4" ht="15.75" x14ac:dyDescent="0.25">
      <c r="A1913" s="94" t="s">
        <v>1992</v>
      </c>
      <c r="B1913" s="67">
        <v>3351</v>
      </c>
      <c r="C1913" s="75">
        <v>16453</v>
      </c>
      <c r="D1913" s="67" t="s">
        <v>1784</v>
      </c>
    </row>
    <row r="1914" spans="1:4" ht="15.75" x14ac:dyDescent="0.25">
      <c r="A1914" s="94" t="s">
        <v>1993</v>
      </c>
      <c r="B1914" s="67">
        <v>3354</v>
      </c>
      <c r="C1914" s="75">
        <v>14989</v>
      </c>
      <c r="D1914" s="67" t="s">
        <v>1784</v>
      </c>
    </row>
    <row r="1915" spans="1:4" ht="15.75" x14ac:dyDescent="0.25">
      <c r="A1915" s="94" t="s">
        <v>1994</v>
      </c>
      <c r="B1915" s="67">
        <v>3353</v>
      </c>
      <c r="C1915" s="75">
        <v>11045</v>
      </c>
      <c r="D1915" s="67" t="s">
        <v>1784</v>
      </c>
    </row>
    <row r="1916" spans="1:4" ht="15.75" x14ac:dyDescent="0.25">
      <c r="A1916" s="94" t="s">
        <v>2072</v>
      </c>
      <c r="B1916" s="67">
        <v>3392</v>
      </c>
      <c r="C1916" s="75">
        <v>16776</v>
      </c>
      <c r="D1916" s="67" t="s">
        <v>1784</v>
      </c>
    </row>
    <row r="1917" spans="1:4" ht="15.75" x14ac:dyDescent="0.25">
      <c r="A1917" s="94" t="s">
        <v>2073</v>
      </c>
      <c r="B1917" s="67">
        <v>3451</v>
      </c>
      <c r="C1917" s="75">
        <v>18291</v>
      </c>
      <c r="D1917" s="67" t="s">
        <v>1784</v>
      </c>
    </row>
    <row r="1918" spans="1:4" ht="15.75" x14ac:dyDescent="0.25">
      <c r="A1918" s="94" t="s">
        <v>2437</v>
      </c>
      <c r="B1918" s="67">
        <v>3428</v>
      </c>
      <c r="C1918" s="75">
        <v>16022</v>
      </c>
      <c r="D1918" s="67" t="s">
        <v>1784</v>
      </c>
    </row>
    <row r="1919" spans="1:4" ht="15.75" x14ac:dyDescent="0.25">
      <c r="A1919" s="94" t="s">
        <v>2074</v>
      </c>
      <c r="B1919" s="67">
        <v>3387</v>
      </c>
      <c r="C1919" s="75">
        <v>18291</v>
      </c>
      <c r="D1919" s="67" t="s">
        <v>1784</v>
      </c>
    </row>
    <row r="1920" spans="1:4" ht="15.75" x14ac:dyDescent="0.25">
      <c r="A1920" s="94" t="s">
        <v>2075</v>
      </c>
      <c r="B1920" s="67">
        <v>3429</v>
      </c>
      <c r="C1920" s="75">
        <v>23337</v>
      </c>
      <c r="D1920" s="67" t="s">
        <v>1784</v>
      </c>
    </row>
    <row r="1921" spans="1:4" ht="15.75" x14ac:dyDescent="0.25">
      <c r="A1921" s="94" t="s">
        <v>2076</v>
      </c>
      <c r="B1921" s="67">
        <v>3393</v>
      </c>
      <c r="C1921" s="75">
        <v>27380</v>
      </c>
      <c r="D1921" s="67" t="s">
        <v>1784</v>
      </c>
    </row>
    <row r="1922" spans="1:4" ht="15.75" x14ac:dyDescent="0.25">
      <c r="A1922" s="94" t="s">
        <v>2207</v>
      </c>
      <c r="B1922" s="67">
        <v>1148</v>
      </c>
      <c r="C1922" s="75">
        <v>9757</v>
      </c>
      <c r="D1922" s="67" t="s">
        <v>1784</v>
      </c>
    </row>
    <row r="1923" spans="1:4" ht="15.75" x14ac:dyDescent="0.25">
      <c r="A1923" s="94" t="s">
        <v>2208</v>
      </c>
      <c r="B1923" s="67">
        <v>1308</v>
      </c>
      <c r="C1923" s="75">
        <v>13675</v>
      </c>
      <c r="D1923" s="67" t="s">
        <v>1784</v>
      </c>
    </row>
    <row r="1924" spans="1:4" ht="15.75" x14ac:dyDescent="0.25">
      <c r="A1924" s="94" t="s">
        <v>2209</v>
      </c>
      <c r="B1924" s="67">
        <v>1107</v>
      </c>
      <c r="C1924" s="75">
        <v>17657</v>
      </c>
      <c r="D1924" s="67" t="s">
        <v>1784</v>
      </c>
    </row>
    <row r="1925" spans="1:4" ht="15.75" x14ac:dyDescent="0.25">
      <c r="A1925" s="94" t="s">
        <v>2210</v>
      </c>
      <c r="B1925" s="67">
        <v>2069</v>
      </c>
      <c r="C1925" s="75">
        <v>29045</v>
      </c>
      <c r="D1925" s="67" t="s">
        <v>1784</v>
      </c>
    </row>
    <row r="1926" spans="1:4" ht="15.75" x14ac:dyDescent="0.25">
      <c r="A1926" s="94" t="s">
        <v>2211</v>
      </c>
      <c r="B1926" s="67">
        <v>3140</v>
      </c>
      <c r="C1926" s="75">
        <v>32203</v>
      </c>
      <c r="D1926" s="67" t="s">
        <v>1784</v>
      </c>
    </row>
    <row r="1927" spans="1:4" ht="15.75" x14ac:dyDescent="0.25">
      <c r="A1927" s="94" t="s">
        <v>2212</v>
      </c>
      <c r="B1927" s="67">
        <v>2094</v>
      </c>
      <c r="C1927" s="75">
        <v>14528</v>
      </c>
      <c r="D1927" s="67" t="s">
        <v>1784</v>
      </c>
    </row>
    <row r="1928" spans="1:4" ht="15.75" x14ac:dyDescent="0.25">
      <c r="A1928" s="94" t="s">
        <v>2213</v>
      </c>
      <c r="B1928" s="67">
        <v>2089</v>
      </c>
      <c r="C1928" s="75">
        <v>20937</v>
      </c>
      <c r="D1928" s="67" t="s">
        <v>1784</v>
      </c>
    </row>
    <row r="1929" spans="1:4" ht="15.75" x14ac:dyDescent="0.25">
      <c r="A1929" s="94" t="s">
        <v>2214</v>
      </c>
      <c r="B1929" s="67">
        <v>4935</v>
      </c>
      <c r="C1929" s="75">
        <v>14585</v>
      </c>
      <c r="D1929" s="67" t="s">
        <v>1784</v>
      </c>
    </row>
    <row r="1930" spans="1:4" ht="15.75" x14ac:dyDescent="0.25">
      <c r="A1930" s="94" t="s">
        <v>2215</v>
      </c>
      <c r="B1930" s="67">
        <v>3663</v>
      </c>
      <c r="C1930" s="75">
        <v>2351</v>
      </c>
      <c r="D1930" s="67" t="s">
        <v>1784</v>
      </c>
    </row>
    <row r="1931" spans="1:4" ht="15.75" x14ac:dyDescent="0.25">
      <c r="A1931" s="94" t="s">
        <v>2216</v>
      </c>
      <c r="B1931" s="67">
        <v>3706</v>
      </c>
      <c r="C1931" s="75">
        <v>2161</v>
      </c>
      <c r="D1931" s="67" t="s">
        <v>1784</v>
      </c>
    </row>
    <row r="1932" spans="1:4" ht="15.75" x14ac:dyDescent="0.25">
      <c r="A1932" s="94" t="s">
        <v>2217</v>
      </c>
      <c r="B1932" s="67">
        <v>1089</v>
      </c>
      <c r="C1932" s="75">
        <v>3210</v>
      </c>
      <c r="D1932" s="67" t="s">
        <v>1784</v>
      </c>
    </row>
    <row r="1933" spans="1:4" ht="15.75" x14ac:dyDescent="0.25">
      <c r="A1933" s="94" t="s">
        <v>2218</v>
      </c>
      <c r="B1933" s="67">
        <v>1241</v>
      </c>
      <c r="C1933" s="75">
        <v>3319</v>
      </c>
      <c r="D1933" s="67" t="s">
        <v>1784</v>
      </c>
    </row>
    <row r="1934" spans="1:4" ht="15.75" x14ac:dyDescent="0.25">
      <c r="A1934" s="94" t="s">
        <v>2219</v>
      </c>
      <c r="B1934" s="67">
        <v>1151</v>
      </c>
      <c r="C1934" s="75">
        <v>11347</v>
      </c>
      <c r="D1934" s="67" t="s">
        <v>1784</v>
      </c>
    </row>
    <row r="1935" spans="1:4" ht="15.75" x14ac:dyDescent="0.25">
      <c r="A1935" s="94" t="s">
        <v>2220</v>
      </c>
      <c r="B1935" s="67">
        <v>2188</v>
      </c>
      <c r="C1935" s="75">
        <v>9901</v>
      </c>
      <c r="D1935" s="67" t="s">
        <v>1784</v>
      </c>
    </row>
    <row r="1936" spans="1:4" ht="15.75" x14ac:dyDescent="0.25">
      <c r="A1936" s="94" t="s">
        <v>2221</v>
      </c>
      <c r="B1936" s="67">
        <v>1730</v>
      </c>
      <c r="C1936" s="75">
        <v>19968</v>
      </c>
      <c r="D1936" s="67" t="s">
        <v>1784</v>
      </c>
    </row>
    <row r="1937" spans="1:4" ht="15.75" x14ac:dyDescent="0.25">
      <c r="A1937" s="94" t="s">
        <v>2222</v>
      </c>
      <c r="B1937" s="67">
        <v>2068</v>
      </c>
      <c r="C1937" s="75">
        <v>29045</v>
      </c>
      <c r="D1937" s="67" t="s">
        <v>1784</v>
      </c>
    </row>
    <row r="1938" spans="1:4" ht="15.75" x14ac:dyDescent="0.25">
      <c r="A1938" s="94" t="s">
        <v>2223</v>
      </c>
      <c r="B1938" s="67">
        <v>1740</v>
      </c>
      <c r="C1938" s="75">
        <v>30739</v>
      </c>
      <c r="D1938" s="67" t="s">
        <v>1784</v>
      </c>
    </row>
    <row r="1939" spans="1:4" ht="15.75" x14ac:dyDescent="0.25">
      <c r="A1939" s="94" t="s">
        <v>2224</v>
      </c>
      <c r="B1939" s="67">
        <v>1941</v>
      </c>
      <c r="C1939" s="75">
        <v>5901</v>
      </c>
      <c r="D1939" s="67" t="s">
        <v>1784</v>
      </c>
    </row>
    <row r="1940" spans="1:4" ht="15.75" x14ac:dyDescent="0.25">
      <c r="A1940" s="94" t="s">
        <v>2340</v>
      </c>
      <c r="B1940" s="67">
        <v>4262</v>
      </c>
      <c r="C1940" s="75">
        <v>7907</v>
      </c>
      <c r="D1940" s="67" t="s">
        <v>1784</v>
      </c>
    </row>
    <row r="1941" spans="1:4" ht="15.75" x14ac:dyDescent="0.25">
      <c r="A1941" s="94" t="s">
        <v>2341</v>
      </c>
      <c r="B1941" s="67">
        <v>4216</v>
      </c>
      <c r="C1941" s="75">
        <v>3342</v>
      </c>
      <c r="D1941" s="67" t="s">
        <v>1784</v>
      </c>
    </row>
    <row r="1942" spans="1:4" ht="15.75" x14ac:dyDescent="0.25">
      <c r="A1942" s="94" t="s">
        <v>2342</v>
      </c>
      <c r="B1942" s="67">
        <v>4204</v>
      </c>
      <c r="C1942" s="75">
        <v>15120</v>
      </c>
      <c r="D1942" s="67" t="s">
        <v>1784</v>
      </c>
    </row>
    <row r="1943" spans="1:4" ht="15.75" x14ac:dyDescent="0.25">
      <c r="A1943" s="94" t="s">
        <v>2562</v>
      </c>
      <c r="B1943" s="67">
        <v>2083</v>
      </c>
      <c r="C1943" s="75">
        <v>85</v>
      </c>
      <c r="D1943" s="67" t="s">
        <v>1784</v>
      </c>
    </row>
    <row r="1944" spans="1:4" ht="15.75" x14ac:dyDescent="0.25">
      <c r="A1944" s="94" t="s">
        <v>2412</v>
      </c>
      <c r="B1944" s="67">
        <v>2142</v>
      </c>
      <c r="C1944" s="75">
        <v>69</v>
      </c>
      <c r="D1944" s="67" t="s">
        <v>1784</v>
      </c>
    </row>
    <row r="1945" spans="1:4" ht="15.75" x14ac:dyDescent="0.25">
      <c r="A1945" s="94" t="s">
        <v>2413</v>
      </c>
      <c r="B1945" s="67">
        <v>2057</v>
      </c>
      <c r="C1945" s="75">
        <v>85</v>
      </c>
      <c r="D1945" s="67" t="s">
        <v>1784</v>
      </c>
    </row>
    <row r="1946" spans="1:4" ht="15.75" x14ac:dyDescent="0.25">
      <c r="A1946" s="94" t="s">
        <v>3348</v>
      </c>
      <c r="B1946" s="67" t="s">
        <v>1915</v>
      </c>
      <c r="C1946" s="75">
        <v>58</v>
      </c>
      <c r="D1946" s="67" t="s">
        <v>1784</v>
      </c>
    </row>
    <row r="1947" spans="1:4" ht="15.75" x14ac:dyDescent="0.25">
      <c r="A1947" s="94" t="s">
        <v>3347</v>
      </c>
      <c r="B1947" s="67" t="s">
        <v>1914</v>
      </c>
      <c r="C1947" s="75">
        <v>34</v>
      </c>
      <c r="D1947" s="67" t="s">
        <v>1784</v>
      </c>
    </row>
    <row r="1948" spans="1:4" ht="15.75" x14ac:dyDescent="0.25">
      <c r="A1948" s="94" t="s">
        <v>1933</v>
      </c>
      <c r="B1948" s="67">
        <v>4786</v>
      </c>
      <c r="C1948" s="75">
        <v>8599</v>
      </c>
      <c r="D1948" s="67" t="s">
        <v>1784</v>
      </c>
    </row>
    <row r="1949" spans="1:4" ht="15.75" x14ac:dyDescent="0.25">
      <c r="A1949" s="94" t="s">
        <v>2201</v>
      </c>
      <c r="B1949" s="67">
        <v>4465</v>
      </c>
      <c r="C1949" s="75">
        <v>3995</v>
      </c>
      <c r="D1949" s="67" t="s">
        <v>1784</v>
      </c>
    </row>
    <row r="1950" spans="1:4" ht="15.75" x14ac:dyDescent="0.25">
      <c r="A1950" s="94" t="s">
        <v>1979</v>
      </c>
      <c r="B1950" s="67">
        <v>3181</v>
      </c>
      <c r="C1950" s="75">
        <v>5343</v>
      </c>
      <c r="D1950" s="67" t="s">
        <v>1784</v>
      </c>
    </row>
    <row r="1951" spans="1:4" ht="15.75" x14ac:dyDescent="0.25">
      <c r="A1951" s="94" t="s">
        <v>1980</v>
      </c>
      <c r="B1951" s="67">
        <v>3164</v>
      </c>
      <c r="C1951" s="75">
        <v>4524</v>
      </c>
      <c r="D1951" s="67" t="s">
        <v>1784</v>
      </c>
    </row>
    <row r="1952" spans="1:4" ht="15.75" x14ac:dyDescent="0.25">
      <c r="A1952" s="94" t="s">
        <v>2202</v>
      </c>
      <c r="B1952" s="67">
        <v>4012</v>
      </c>
      <c r="C1952" s="75">
        <v>2190</v>
      </c>
      <c r="D1952" s="67" t="s">
        <v>1784</v>
      </c>
    </row>
    <row r="1953" spans="1:4" ht="15.75" x14ac:dyDescent="0.25">
      <c r="A1953" s="94" t="s">
        <v>2203</v>
      </c>
      <c r="B1953" s="67">
        <v>4052</v>
      </c>
      <c r="C1953" s="75">
        <v>3561</v>
      </c>
      <c r="D1953" s="67" t="s">
        <v>1784</v>
      </c>
    </row>
    <row r="1954" spans="1:4" ht="15.75" x14ac:dyDescent="0.25">
      <c r="A1954" s="94" t="s">
        <v>2204</v>
      </c>
      <c r="B1954" s="67">
        <v>1946</v>
      </c>
      <c r="C1954" s="75">
        <v>4985</v>
      </c>
      <c r="D1954" s="67" t="s">
        <v>1784</v>
      </c>
    </row>
    <row r="1955" spans="1:4" ht="15.75" x14ac:dyDescent="0.25">
      <c r="A1955" s="94" t="s">
        <v>2205</v>
      </c>
      <c r="B1955" s="67">
        <v>1950</v>
      </c>
      <c r="C1955" s="75">
        <v>5256</v>
      </c>
      <c r="D1955" s="67" t="s">
        <v>1784</v>
      </c>
    </row>
    <row r="1956" spans="1:4" ht="15.75" x14ac:dyDescent="0.25">
      <c r="A1956" s="94" t="s">
        <v>2206</v>
      </c>
      <c r="B1956" s="67">
        <v>3936</v>
      </c>
      <c r="C1956" s="75">
        <v>2968</v>
      </c>
      <c r="D1956" s="67" t="s">
        <v>1784</v>
      </c>
    </row>
    <row r="1957" spans="1:4" ht="15.75" x14ac:dyDescent="0.25">
      <c r="A1957" s="94" t="s">
        <v>2411</v>
      </c>
      <c r="B1957" s="67">
        <v>2426</v>
      </c>
      <c r="C1957" s="75">
        <v>130</v>
      </c>
      <c r="D1957" s="67" t="s">
        <v>1784</v>
      </c>
    </row>
    <row r="1958" spans="1:4" ht="15.75" x14ac:dyDescent="0.25">
      <c r="A1958" s="94" t="s">
        <v>1995</v>
      </c>
      <c r="B1958" s="67">
        <v>2564</v>
      </c>
      <c r="C1958" s="75">
        <v>2552</v>
      </c>
      <c r="D1958" s="67" t="s">
        <v>1784</v>
      </c>
    </row>
    <row r="1959" spans="1:4" ht="15.75" x14ac:dyDescent="0.25">
      <c r="A1959" s="94" t="s">
        <v>1996</v>
      </c>
      <c r="B1959" s="67">
        <v>2767</v>
      </c>
      <c r="C1959" s="75">
        <v>1114</v>
      </c>
      <c r="D1959" s="67" t="s">
        <v>1784</v>
      </c>
    </row>
    <row r="1960" spans="1:4" ht="15.75" x14ac:dyDescent="0.25">
      <c r="A1960" s="94" t="s">
        <v>1997</v>
      </c>
      <c r="B1960" s="67">
        <v>2681</v>
      </c>
      <c r="C1960" s="75">
        <v>2825</v>
      </c>
      <c r="D1960" s="67" t="s">
        <v>1784</v>
      </c>
    </row>
    <row r="1961" spans="1:4" ht="15.75" x14ac:dyDescent="0.25">
      <c r="A1961" s="94" t="s">
        <v>1998</v>
      </c>
      <c r="B1961" s="67">
        <v>2760</v>
      </c>
      <c r="C1961" s="75">
        <v>820</v>
      </c>
      <c r="D1961" s="67" t="s">
        <v>1784</v>
      </c>
    </row>
    <row r="1962" spans="1:4" ht="15.75" x14ac:dyDescent="0.25">
      <c r="A1962" s="94" t="s">
        <v>1999</v>
      </c>
      <c r="B1962" s="67">
        <v>2753</v>
      </c>
      <c r="C1962" s="75">
        <v>1511</v>
      </c>
      <c r="D1962" s="67" t="s">
        <v>1784</v>
      </c>
    </row>
    <row r="1963" spans="1:4" ht="15.75" x14ac:dyDescent="0.25">
      <c r="A1963" s="94" t="s">
        <v>2000</v>
      </c>
      <c r="B1963" s="67">
        <v>2537</v>
      </c>
      <c r="C1963" s="75">
        <v>1860</v>
      </c>
      <c r="D1963" s="67" t="s">
        <v>1784</v>
      </c>
    </row>
    <row r="1964" spans="1:4" ht="15.75" x14ac:dyDescent="0.25">
      <c r="A1964" s="94" t="s">
        <v>2077</v>
      </c>
      <c r="B1964" s="67">
        <v>2984</v>
      </c>
      <c r="C1964" s="75">
        <v>2393</v>
      </c>
      <c r="D1964" s="67" t="s">
        <v>1784</v>
      </c>
    </row>
    <row r="1965" spans="1:4" ht="15.75" x14ac:dyDescent="0.25">
      <c r="A1965" s="94" t="s">
        <v>2078</v>
      </c>
      <c r="B1965" s="67">
        <v>2536</v>
      </c>
      <c r="C1965" s="75">
        <v>2699</v>
      </c>
      <c r="D1965" s="67" t="s">
        <v>1784</v>
      </c>
    </row>
    <row r="1966" spans="1:4" ht="15.75" x14ac:dyDescent="0.25">
      <c r="A1966" s="94" t="s">
        <v>2438</v>
      </c>
      <c r="B1966" s="67">
        <v>2983</v>
      </c>
      <c r="C1966" s="75">
        <v>3151</v>
      </c>
      <c r="D1966" s="67" t="s">
        <v>1784</v>
      </c>
    </row>
    <row r="1967" spans="1:4" ht="15.75" x14ac:dyDescent="0.25">
      <c r="A1967" s="94" t="s">
        <v>2079</v>
      </c>
      <c r="B1967" s="67">
        <v>4522</v>
      </c>
      <c r="C1967" s="75">
        <v>2768</v>
      </c>
      <c r="D1967" s="67" t="s">
        <v>1784</v>
      </c>
    </row>
    <row r="1968" spans="1:4" ht="15.75" x14ac:dyDescent="0.25">
      <c r="A1968" s="94" t="s">
        <v>2080</v>
      </c>
      <c r="B1968" s="67">
        <v>5394</v>
      </c>
      <c r="C1968" s="75">
        <v>5681</v>
      </c>
      <c r="D1968" s="67" t="s">
        <v>1784</v>
      </c>
    </row>
    <row r="1969" spans="1:4" ht="15.75" x14ac:dyDescent="0.25">
      <c r="A1969" s="94" t="s">
        <v>2081</v>
      </c>
      <c r="B1969" s="67">
        <v>4544</v>
      </c>
      <c r="C1969" s="75">
        <v>1201</v>
      </c>
      <c r="D1969" s="67" t="s">
        <v>1784</v>
      </c>
    </row>
    <row r="1970" spans="1:4" ht="15.75" x14ac:dyDescent="0.25">
      <c r="A1970" s="94" t="s">
        <v>2082</v>
      </c>
      <c r="B1970" s="67">
        <v>4590</v>
      </c>
      <c r="C1970" s="75">
        <v>1170</v>
      </c>
      <c r="D1970" s="67" t="s">
        <v>1784</v>
      </c>
    </row>
    <row r="1971" spans="1:4" ht="15.75" x14ac:dyDescent="0.25">
      <c r="A1971" s="94" t="s">
        <v>2083</v>
      </c>
      <c r="B1971" s="67">
        <v>4363</v>
      </c>
      <c r="C1971" s="75">
        <v>1368</v>
      </c>
      <c r="D1971" s="67" t="s">
        <v>1784</v>
      </c>
    </row>
    <row r="1972" spans="1:4" ht="15.75" x14ac:dyDescent="0.25">
      <c r="A1972" s="94" t="s">
        <v>2084</v>
      </c>
      <c r="B1972" s="67">
        <v>2986</v>
      </c>
      <c r="C1972" s="75">
        <v>1478</v>
      </c>
      <c r="D1972" s="67" t="s">
        <v>1784</v>
      </c>
    </row>
    <row r="1973" spans="1:4" ht="15.75" x14ac:dyDescent="0.25">
      <c r="A1973" s="94" t="s">
        <v>2085</v>
      </c>
      <c r="B1973" s="67">
        <v>4536</v>
      </c>
      <c r="C1973" s="75">
        <v>1856</v>
      </c>
      <c r="D1973" s="67" t="s">
        <v>1784</v>
      </c>
    </row>
    <row r="1974" spans="1:4" ht="15.75" x14ac:dyDescent="0.25">
      <c r="A1974" s="94" t="s">
        <v>2225</v>
      </c>
      <c r="B1974" s="67">
        <v>2141</v>
      </c>
      <c r="C1974" s="75">
        <v>2063</v>
      </c>
      <c r="D1974" s="67" t="s">
        <v>1784</v>
      </c>
    </row>
    <row r="1975" spans="1:4" ht="15.75" x14ac:dyDescent="0.25">
      <c r="A1975" s="94" t="s">
        <v>2226</v>
      </c>
      <c r="B1975" s="67">
        <v>1726</v>
      </c>
      <c r="C1975" s="75">
        <v>4120</v>
      </c>
      <c r="D1975" s="67" t="s">
        <v>1784</v>
      </c>
    </row>
    <row r="1976" spans="1:4" ht="15.75" x14ac:dyDescent="0.25">
      <c r="A1976" s="94" t="s">
        <v>2227</v>
      </c>
      <c r="B1976" s="67">
        <v>3890</v>
      </c>
      <c r="C1976" s="75">
        <v>2939</v>
      </c>
      <c r="D1976" s="67" t="s">
        <v>1784</v>
      </c>
    </row>
    <row r="1977" spans="1:4" ht="15.75" x14ac:dyDescent="0.25">
      <c r="A1977" s="94" t="s">
        <v>2228</v>
      </c>
      <c r="B1977" s="67">
        <v>924</v>
      </c>
      <c r="C1977" s="75">
        <v>3560</v>
      </c>
      <c r="D1977" s="67" t="s">
        <v>1784</v>
      </c>
    </row>
    <row r="1978" spans="1:4" ht="15.75" x14ac:dyDescent="0.25">
      <c r="A1978" s="94" t="s">
        <v>2229</v>
      </c>
      <c r="B1978" s="67">
        <v>2297</v>
      </c>
      <c r="C1978" s="75">
        <v>2975</v>
      </c>
      <c r="D1978" s="67" t="s">
        <v>1784</v>
      </c>
    </row>
    <row r="1979" spans="1:4" ht="15.75" x14ac:dyDescent="0.25">
      <c r="A1979" s="94" t="s">
        <v>2230</v>
      </c>
      <c r="B1979" s="67">
        <v>2293</v>
      </c>
      <c r="C1979" s="75">
        <v>2945</v>
      </c>
      <c r="D1979" s="67" t="s">
        <v>1784</v>
      </c>
    </row>
    <row r="1980" spans="1:4" ht="15.75" x14ac:dyDescent="0.25">
      <c r="A1980" s="94" t="s">
        <v>2231</v>
      </c>
      <c r="B1980" s="67">
        <v>3662</v>
      </c>
      <c r="C1980" s="75">
        <v>909</v>
      </c>
      <c r="D1980" s="67" t="s">
        <v>1784</v>
      </c>
    </row>
    <row r="1981" spans="1:4" ht="15.75" x14ac:dyDescent="0.25">
      <c r="A1981" s="94" t="s">
        <v>2232</v>
      </c>
      <c r="B1981" s="67">
        <v>3803</v>
      </c>
      <c r="C1981" s="75">
        <v>1683</v>
      </c>
      <c r="D1981" s="67" t="s">
        <v>1784</v>
      </c>
    </row>
    <row r="1982" spans="1:4" ht="15.75" x14ac:dyDescent="0.25">
      <c r="A1982" s="94" t="s">
        <v>2233</v>
      </c>
      <c r="B1982" s="67">
        <v>1376</v>
      </c>
      <c r="C1982" s="75">
        <v>1106</v>
      </c>
      <c r="D1982" s="67" t="s">
        <v>1784</v>
      </c>
    </row>
    <row r="1983" spans="1:4" ht="15.75" x14ac:dyDescent="0.25">
      <c r="A1983" s="94" t="s">
        <v>2234</v>
      </c>
      <c r="B1983" s="67">
        <v>1393</v>
      </c>
      <c r="C1983" s="75">
        <v>1199</v>
      </c>
      <c r="D1983" s="67" t="s">
        <v>1784</v>
      </c>
    </row>
    <row r="1984" spans="1:4" ht="15.75" x14ac:dyDescent="0.25">
      <c r="A1984" s="94" t="s">
        <v>2235</v>
      </c>
      <c r="B1984" s="67">
        <v>1400</v>
      </c>
      <c r="C1984" s="75">
        <v>1128</v>
      </c>
      <c r="D1984" s="67" t="s">
        <v>1784</v>
      </c>
    </row>
    <row r="1985" spans="1:4" ht="15.75" x14ac:dyDescent="0.25">
      <c r="A1985" s="94" t="s">
        <v>2236</v>
      </c>
      <c r="B1985" s="67">
        <v>1940</v>
      </c>
      <c r="C1985" s="75">
        <v>1227</v>
      </c>
      <c r="D1985" s="67" t="s">
        <v>1784</v>
      </c>
    </row>
    <row r="1986" spans="1:4" ht="15.75" x14ac:dyDescent="0.25">
      <c r="A1986" s="94" t="s">
        <v>2343</v>
      </c>
      <c r="B1986" s="67">
        <v>4373</v>
      </c>
      <c r="C1986" s="75">
        <v>3694</v>
      </c>
      <c r="D1986" s="67" t="s">
        <v>1784</v>
      </c>
    </row>
    <row r="1987" spans="1:4" ht="15.75" x14ac:dyDescent="0.25">
      <c r="A1987" s="94" t="s">
        <v>2344</v>
      </c>
      <c r="B1987" s="67">
        <v>4222</v>
      </c>
      <c r="C1987" s="75">
        <v>1907</v>
      </c>
      <c r="D1987" s="67" t="s">
        <v>1784</v>
      </c>
    </row>
    <row r="1988" spans="1:4" ht="15.75" x14ac:dyDescent="0.25">
      <c r="A1988" s="94" t="s">
        <v>2345</v>
      </c>
      <c r="B1988" s="67">
        <v>4433</v>
      </c>
      <c r="C1988" s="75">
        <v>2969</v>
      </c>
      <c r="D1988" s="67" t="s">
        <v>1784</v>
      </c>
    </row>
    <row r="1989" spans="1:4" ht="15.75" x14ac:dyDescent="0.25">
      <c r="A1989" s="94" t="s">
        <v>2346</v>
      </c>
      <c r="B1989" s="67">
        <v>4374</v>
      </c>
      <c r="C1989" s="75">
        <v>2969</v>
      </c>
      <c r="D1989" s="67" t="s">
        <v>1784</v>
      </c>
    </row>
    <row r="1990" spans="1:4" ht="15.75" x14ac:dyDescent="0.25">
      <c r="A1990" s="94" t="s">
        <v>2347</v>
      </c>
      <c r="B1990" s="67">
        <v>4348</v>
      </c>
      <c r="C1990" s="75">
        <v>1269</v>
      </c>
      <c r="D1990" s="67" t="s">
        <v>1784</v>
      </c>
    </row>
    <row r="1991" spans="1:4" ht="15.75" x14ac:dyDescent="0.25">
      <c r="A1991" s="94" t="s">
        <v>2348</v>
      </c>
      <c r="B1991" s="67">
        <v>4353</v>
      </c>
      <c r="C1991" s="75">
        <v>2137</v>
      </c>
      <c r="D1991" s="67" t="s">
        <v>1784</v>
      </c>
    </row>
    <row r="1992" spans="1:4" ht="15.75" x14ac:dyDescent="0.25">
      <c r="A1992" s="94" t="s">
        <v>2349</v>
      </c>
      <c r="B1992" s="67">
        <v>4702</v>
      </c>
      <c r="C1992" s="75">
        <v>3394</v>
      </c>
      <c r="D1992" s="67" t="s">
        <v>1784</v>
      </c>
    </row>
    <row r="1993" spans="1:4" ht="15.75" x14ac:dyDescent="0.25">
      <c r="A1993" s="94" t="s">
        <v>2350</v>
      </c>
      <c r="B1993" s="67">
        <v>4592</v>
      </c>
      <c r="C1993" s="75">
        <v>8057</v>
      </c>
      <c r="D1993" s="67" t="s">
        <v>1784</v>
      </c>
    </row>
    <row r="1994" spans="1:4" x14ac:dyDescent="0.25">
      <c r="A1994" s="92" t="s">
        <v>3131</v>
      </c>
      <c r="B1994" s="67" t="s">
        <v>1607</v>
      </c>
      <c r="C1994" s="74">
        <f>389.03*0.8*0.95</f>
        <v>295.6628</v>
      </c>
      <c r="D1994" s="67" t="s">
        <v>1784</v>
      </c>
    </row>
    <row r="1995" spans="1:4" x14ac:dyDescent="0.25">
      <c r="A1995" s="91" t="s">
        <v>3132</v>
      </c>
      <c r="B1995" s="67" t="s">
        <v>1608</v>
      </c>
      <c r="C1995" s="74">
        <f>475.48*0.8*0.95</f>
        <v>361.3648</v>
      </c>
      <c r="D1995" s="67" t="s">
        <v>1784</v>
      </c>
    </row>
    <row r="1996" spans="1:4" x14ac:dyDescent="0.25">
      <c r="A1996" s="92" t="s">
        <v>3133</v>
      </c>
      <c r="B1996" s="67" t="s">
        <v>1609</v>
      </c>
      <c r="C1996" s="74">
        <f>389.03*0.8*0.95</f>
        <v>295.6628</v>
      </c>
      <c r="D1996" s="67" t="s">
        <v>1784</v>
      </c>
    </row>
    <row r="1997" spans="1:4" ht="15.75" x14ac:dyDescent="0.25">
      <c r="A1997" s="94" t="s">
        <v>2237</v>
      </c>
      <c r="B1997" s="67">
        <v>4411</v>
      </c>
      <c r="C1997" s="75">
        <v>5700</v>
      </c>
      <c r="D1997" s="67" t="s">
        <v>1784</v>
      </c>
    </row>
    <row r="1998" spans="1:4" ht="15.75" x14ac:dyDescent="0.25">
      <c r="A1998" s="94" t="s">
        <v>2086</v>
      </c>
      <c r="B1998" s="67">
        <v>3099</v>
      </c>
      <c r="C1998" s="75">
        <v>3455</v>
      </c>
      <c r="D1998" s="67" t="s">
        <v>1784</v>
      </c>
    </row>
    <row r="1999" spans="1:4" ht="15.75" x14ac:dyDescent="0.25">
      <c r="A1999" s="94" t="s">
        <v>2238</v>
      </c>
      <c r="B1999" s="67">
        <v>917</v>
      </c>
      <c r="C1999" s="75">
        <v>1864</v>
      </c>
      <c r="D1999" s="67" t="s">
        <v>1784</v>
      </c>
    </row>
    <row r="2000" spans="1:4" ht="15.75" x14ac:dyDescent="0.25">
      <c r="A2000" s="94" t="s">
        <v>2351</v>
      </c>
      <c r="B2000" s="67">
        <v>4323</v>
      </c>
      <c r="C2000" s="75">
        <v>1984</v>
      </c>
      <c r="D2000" s="67" t="s">
        <v>1784</v>
      </c>
    </row>
    <row r="2001" spans="1:4" ht="15.75" x14ac:dyDescent="0.25">
      <c r="A2001" s="94" t="s">
        <v>2352</v>
      </c>
      <c r="B2001" s="67">
        <v>4584</v>
      </c>
      <c r="C2001" s="75">
        <v>7976</v>
      </c>
      <c r="D2001" s="67" t="s">
        <v>1784</v>
      </c>
    </row>
    <row r="2002" spans="1:4" ht="15.75" x14ac:dyDescent="0.25">
      <c r="A2002" s="94" t="s">
        <v>2353</v>
      </c>
      <c r="B2002" s="67">
        <v>5243</v>
      </c>
      <c r="C2002" s="75">
        <v>3096</v>
      </c>
      <c r="D2002" s="67" t="s">
        <v>1784</v>
      </c>
    </row>
    <row r="2003" spans="1:4" ht="15.75" x14ac:dyDescent="0.25">
      <c r="A2003" s="94" t="s">
        <v>1934</v>
      </c>
      <c r="B2003" s="67">
        <v>4387</v>
      </c>
      <c r="C2003" s="75">
        <v>381</v>
      </c>
      <c r="D2003" s="67" t="s">
        <v>1784</v>
      </c>
    </row>
    <row r="2004" spans="1:4" ht="15.75" x14ac:dyDescent="0.25">
      <c r="A2004" s="94" t="s">
        <v>1935</v>
      </c>
      <c r="B2004" s="67">
        <v>4950</v>
      </c>
      <c r="C2004" s="75">
        <v>2470</v>
      </c>
      <c r="D2004" s="67" t="s">
        <v>1784</v>
      </c>
    </row>
    <row r="2005" spans="1:4" ht="15.75" x14ac:dyDescent="0.25">
      <c r="A2005" s="94" t="s">
        <v>1936</v>
      </c>
      <c r="B2005" s="67">
        <v>4951</v>
      </c>
      <c r="C2005" s="75">
        <v>2598</v>
      </c>
      <c r="D2005" s="67" t="s">
        <v>1784</v>
      </c>
    </row>
    <row r="2006" spans="1:4" ht="15.75" x14ac:dyDescent="0.25">
      <c r="A2006" s="94" t="s">
        <v>2420</v>
      </c>
      <c r="B2006" s="67">
        <v>561</v>
      </c>
      <c r="C2006" s="75">
        <v>2568</v>
      </c>
      <c r="D2006" s="67" t="s">
        <v>1784</v>
      </c>
    </row>
    <row r="2007" spans="1:4" ht="15.75" x14ac:dyDescent="0.25">
      <c r="A2007" s="94" t="s">
        <v>2001</v>
      </c>
      <c r="B2007" s="67">
        <v>3205</v>
      </c>
      <c r="C2007" s="75">
        <v>1659</v>
      </c>
      <c r="D2007" s="67" t="s">
        <v>1784</v>
      </c>
    </row>
    <row r="2008" spans="1:4" ht="15.75" x14ac:dyDescent="0.25">
      <c r="A2008" s="94" t="s">
        <v>2002</v>
      </c>
      <c r="B2008" s="67">
        <v>4264</v>
      </c>
      <c r="C2008" s="75">
        <v>9325</v>
      </c>
      <c r="D2008" s="67" t="s">
        <v>1784</v>
      </c>
    </row>
    <row r="2009" spans="1:4" ht="15.75" x14ac:dyDescent="0.25">
      <c r="A2009" s="94" t="s">
        <v>2003</v>
      </c>
      <c r="B2009" s="67">
        <v>4299</v>
      </c>
      <c r="C2009" s="75">
        <v>4921</v>
      </c>
      <c r="D2009" s="67" t="s">
        <v>1784</v>
      </c>
    </row>
    <row r="2010" spans="1:4" ht="15.75" x14ac:dyDescent="0.25">
      <c r="A2010" s="94" t="s">
        <v>2004</v>
      </c>
      <c r="B2010" s="67">
        <v>3299</v>
      </c>
      <c r="C2010" s="75">
        <v>5495</v>
      </c>
      <c r="D2010" s="67" t="s">
        <v>1784</v>
      </c>
    </row>
    <row r="2011" spans="1:4" ht="15.75" x14ac:dyDescent="0.25">
      <c r="A2011" s="94" t="s">
        <v>2005</v>
      </c>
      <c r="B2011" s="67">
        <v>4298</v>
      </c>
      <c r="C2011" s="75">
        <v>8165</v>
      </c>
      <c r="D2011" s="67" t="s">
        <v>1784</v>
      </c>
    </row>
    <row r="2012" spans="1:4" ht="15.75" x14ac:dyDescent="0.25">
      <c r="A2012" s="94" t="s">
        <v>2006</v>
      </c>
      <c r="B2012" s="67">
        <v>4667</v>
      </c>
      <c r="C2012" s="75">
        <v>2506</v>
      </c>
      <c r="D2012" s="67" t="s">
        <v>1784</v>
      </c>
    </row>
    <row r="2013" spans="1:4" ht="15.75" x14ac:dyDescent="0.25">
      <c r="A2013" s="94" t="s">
        <v>2007</v>
      </c>
      <c r="B2013" s="67">
        <v>3184</v>
      </c>
      <c r="C2013" s="75">
        <v>2872</v>
      </c>
      <c r="D2013" s="67" t="s">
        <v>1784</v>
      </c>
    </row>
    <row r="2014" spans="1:4" ht="15.75" x14ac:dyDescent="0.25">
      <c r="A2014" s="94" t="s">
        <v>2087</v>
      </c>
      <c r="B2014" s="67">
        <v>1455</v>
      </c>
      <c r="C2014" s="75">
        <v>7207</v>
      </c>
      <c r="D2014" s="67" t="s">
        <v>1784</v>
      </c>
    </row>
    <row r="2015" spans="1:4" ht="15.75" x14ac:dyDescent="0.25">
      <c r="A2015" s="94" t="s">
        <v>2088</v>
      </c>
      <c r="B2015" s="67">
        <v>2766</v>
      </c>
      <c r="C2015" s="75">
        <v>2391</v>
      </c>
      <c r="D2015" s="67" t="s">
        <v>1784</v>
      </c>
    </row>
    <row r="2016" spans="1:4" ht="15.75" x14ac:dyDescent="0.25">
      <c r="A2016" s="94" t="s">
        <v>2089</v>
      </c>
      <c r="B2016" s="67">
        <v>2697</v>
      </c>
      <c r="C2016" s="75">
        <v>2157</v>
      </c>
      <c r="D2016" s="67" t="s">
        <v>1784</v>
      </c>
    </row>
    <row r="2017" spans="1:4" ht="15.75" x14ac:dyDescent="0.25">
      <c r="A2017" s="94" t="s">
        <v>2090</v>
      </c>
      <c r="B2017" s="67">
        <v>1326</v>
      </c>
      <c r="C2017" s="75">
        <v>5768</v>
      </c>
      <c r="D2017" s="67" t="s">
        <v>1784</v>
      </c>
    </row>
    <row r="2018" spans="1:4" ht="15.75" x14ac:dyDescent="0.25">
      <c r="A2018" s="94" t="s">
        <v>2091</v>
      </c>
      <c r="B2018" s="67">
        <v>1238</v>
      </c>
      <c r="C2018" s="75">
        <v>3232</v>
      </c>
      <c r="D2018" s="67" t="s">
        <v>1784</v>
      </c>
    </row>
    <row r="2019" spans="1:4" ht="15.75" x14ac:dyDescent="0.25">
      <c r="A2019" s="94" t="s">
        <v>2092</v>
      </c>
      <c r="B2019" s="67">
        <v>1325</v>
      </c>
      <c r="C2019" s="75">
        <v>2553</v>
      </c>
      <c r="D2019" s="67" t="s">
        <v>1784</v>
      </c>
    </row>
    <row r="2020" spans="1:4" ht="15.75" x14ac:dyDescent="0.25">
      <c r="A2020" s="94" t="s">
        <v>2239</v>
      </c>
      <c r="B2020" s="67">
        <v>3989</v>
      </c>
      <c r="C2020" s="75">
        <v>8010</v>
      </c>
      <c r="D2020" s="67" t="s">
        <v>1784</v>
      </c>
    </row>
    <row r="2021" spans="1:4" x14ac:dyDescent="0.25">
      <c r="A2021" s="91" t="s">
        <v>3105</v>
      </c>
      <c r="B2021" s="67" t="s">
        <v>1610</v>
      </c>
      <c r="C2021" s="74">
        <f>12.12*0.8*0.95</f>
        <v>9.2111999999999998</v>
      </c>
      <c r="D2021" s="67" t="s">
        <v>1785</v>
      </c>
    </row>
    <row r="2022" spans="1:4" x14ac:dyDescent="0.25">
      <c r="A2022" s="91" t="s">
        <v>3103</v>
      </c>
      <c r="B2022" s="67" t="s">
        <v>1611</v>
      </c>
      <c r="C2022" s="74">
        <f>12.12*0.8*0.95</f>
        <v>9.2111999999999998</v>
      </c>
      <c r="D2022" s="67" t="s">
        <v>1785</v>
      </c>
    </row>
    <row r="2023" spans="1:4" x14ac:dyDescent="0.25">
      <c r="A2023" s="91" t="s">
        <v>3104</v>
      </c>
      <c r="B2023" s="67" t="s">
        <v>1612</v>
      </c>
      <c r="C2023" s="74">
        <f>12.12*0.8*0.95</f>
        <v>9.2111999999999998</v>
      </c>
      <c r="D2023" s="67" t="s">
        <v>1785</v>
      </c>
    </row>
    <row r="2024" spans="1:4" x14ac:dyDescent="0.25">
      <c r="A2024" s="91" t="s">
        <v>3097</v>
      </c>
      <c r="B2024" s="67" t="s">
        <v>1613</v>
      </c>
      <c r="C2024" s="74">
        <f>129.89*0.8*0.95</f>
        <v>98.716399999999993</v>
      </c>
      <c r="D2024" s="67" t="s">
        <v>1785</v>
      </c>
    </row>
    <row r="2025" spans="1:4" x14ac:dyDescent="0.25">
      <c r="A2025" s="91" t="s">
        <v>3095</v>
      </c>
      <c r="B2025" s="67" t="s">
        <v>1614</v>
      </c>
      <c r="C2025" s="74">
        <f>126.77*0.8*0.95</f>
        <v>96.345199999999991</v>
      </c>
      <c r="D2025" s="67" t="s">
        <v>1785</v>
      </c>
    </row>
    <row r="2026" spans="1:4" x14ac:dyDescent="0.25">
      <c r="A2026" s="91" t="s">
        <v>3096</v>
      </c>
      <c r="B2026" s="67" t="s">
        <v>1615</v>
      </c>
      <c r="C2026" s="74">
        <f>129.89*0.8*0.95</f>
        <v>98.716399999999993</v>
      </c>
      <c r="D2026" s="67" t="s">
        <v>1785</v>
      </c>
    </row>
    <row r="2027" spans="1:4" x14ac:dyDescent="0.25">
      <c r="A2027" s="92" t="s">
        <v>3100</v>
      </c>
      <c r="B2027" s="67" t="s">
        <v>1616</v>
      </c>
      <c r="C2027" s="74">
        <f>42.78*0.8*0.95</f>
        <v>32.512799999999999</v>
      </c>
      <c r="D2027" s="67" t="s">
        <v>1785</v>
      </c>
    </row>
    <row r="2028" spans="1:4" x14ac:dyDescent="0.25">
      <c r="A2028" s="92" t="s">
        <v>3098</v>
      </c>
      <c r="B2028" s="67" t="s">
        <v>1617</v>
      </c>
      <c r="C2028" s="74">
        <f>42.78*0.8*0.95</f>
        <v>32.512799999999999</v>
      </c>
      <c r="D2028" s="67" t="s">
        <v>1785</v>
      </c>
    </row>
    <row r="2029" spans="1:4" x14ac:dyDescent="0.25">
      <c r="A2029" s="92" t="s">
        <v>3099</v>
      </c>
      <c r="B2029" s="67" t="s">
        <v>1618</v>
      </c>
      <c r="C2029" s="74">
        <f>42.78*0.8*0.95</f>
        <v>32.512799999999999</v>
      </c>
      <c r="D2029" s="67" t="s">
        <v>1785</v>
      </c>
    </row>
    <row r="2030" spans="1:4" x14ac:dyDescent="0.25">
      <c r="A2030" s="92" t="s">
        <v>3101</v>
      </c>
      <c r="B2030" s="67" t="s">
        <v>1619</v>
      </c>
      <c r="C2030" s="74">
        <f>10.76*0.8*0.95</f>
        <v>8.1776</v>
      </c>
      <c r="D2030" s="67" t="s">
        <v>1785</v>
      </c>
    </row>
    <row r="2031" spans="1:4" x14ac:dyDescent="0.25">
      <c r="A2031" s="92" t="s">
        <v>3092</v>
      </c>
      <c r="B2031" s="67" t="s">
        <v>1620</v>
      </c>
      <c r="C2031" s="74">
        <f>49.28*0.8*0.95</f>
        <v>37.452800000000003</v>
      </c>
      <c r="D2031" s="67" t="s">
        <v>1785</v>
      </c>
    </row>
    <row r="2032" spans="1:4" x14ac:dyDescent="0.25">
      <c r="A2032" s="92" t="s">
        <v>3094</v>
      </c>
      <c r="B2032" s="67" t="s">
        <v>1621</v>
      </c>
      <c r="C2032" s="74">
        <f>49.28*0.8*0.95</f>
        <v>37.452800000000003</v>
      </c>
      <c r="D2032" s="67" t="s">
        <v>1785</v>
      </c>
    </row>
    <row r="2033" spans="1:4" x14ac:dyDescent="0.25">
      <c r="A2033" s="92" t="s">
        <v>3093</v>
      </c>
      <c r="B2033" s="67" t="s">
        <v>1622</v>
      </c>
      <c r="C2033" s="74">
        <f>49.28*0.8*0.95</f>
        <v>37.452800000000003</v>
      </c>
      <c r="D2033" s="67" t="s">
        <v>1785</v>
      </c>
    </row>
    <row r="2034" spans="1:4" x14ac:dyDescent="0.25">
      <c r="A2034" s="91" t="s">
        <v>3102</v>
      </c>
      <c r="B2034" s="67" t="s">
        <v>1623</v>
      </c>
      <c r="C2034" s="74">
        <f>92.64*0.8*0.95</f>
        <v>70.406400000000005</v>
      </c>
      <c r="D2034" s="67" t="s">
        <v>1785</v>
      </c>
    </row>
    <row r="2035" spans="1:4" x14ac:dyDescent="0.25">
      <c r="A2035" s="91" t="s">
        <v>3106</v>
      </c>
      <c r="B2035" s="67" t="s">
        <v>1624</v>
      </c>
      <c r="C2035" s="74">
        <f>1.69*0.8*0.95</f>
        <v>1.2844</v>
      </c>
      <c r="D2035" s="67" t="s">
        <v>1785</v>
      </c>
    </row>
    <row r="2036" spans="1:4" ht="15.75" x14ac:dyDescent="0.25">
      <c r="A2036" s="94" t="s">
        <v>2414</v>
      </c>
      <c r="B2036" s="67">
        <v>2000</v>
      </c>
      <c r="C2036" s="75">
        <v>245</v>
      </c>
      <c r="D2036" s="67" t="s">
        <v>1784</v>
      </c>
    </row>
    <row r="2037" spans="1:4" ht="15.75" x14ac:dyDescent="0.25">
      <c r="A2037" s="94" t="s">
        <v>2563</v>
      </c>
      <c r="B2037" s="67">
        <v>2050</v>
      </c>
      <c r="C2037" s="75">
        <v>185</v>
      </c>
      <c r="D2037" s="67" t="s">
        <v>1784</v>
      </c>
    </row>
    <row r="2038" spans="1:4" ht="15.75" x14ac:dyDescent="0.25">
      <c r="A2038" s="94" t="s">
        <v>2564</v>
      </c>
      <c r="B2038" s="67">
        <v>2015</v>
      </c>
      <c r="C2038" s="75">
        <v>185</v>
      </c>
      <c r="D2038" s="67" t="s">
        <v>1784</v>
      </c>
    </row>
    <row r="2039" spans="1:4" ht="15.75" x14ac:dyDescent="0.25">
      <c r="A2039" s="94" t="s">
        <v>2565</v>
      </c>
      <c r="B2039" s="67">
        <v>2018</v>
      </c>
      <c r="C2039" s="75">
        <v>185</v>
      </c>
      <c r="D2039" s="67" t="s">
        <v>1784</v>
      </c>
    </row>
    <row r="2040" spans="1:4" x14ac:dyDescent="0.25">
      <c r="A2040" s="92" t="s">
        <v>3202</v>
      </c>
      <c r="B2040" s="67" t="s">
        <v>1625</v>
      </c>
      <c r="C2040" s="74">
        <f>7348.99*0.8*0.95</f>
        <v>5585.2323999999999</v>
      </c>
      <c r="D2040" s="67" t="s">
        <v>1784</v>
      </c>
    </row>
    <row r="2041" spans="1:4" x14ac:dyDescent="0.25">
      <c r="A2041" s="91" t="s">
        <v>3297</v>
      </c>
      <c r="B2041" s="67" t="s">
        <v>1626</v>
      </c>
      <c r="C2041" s="74">
        <f>134.89*0.8*0.95</f>
        <v>102.51639999999999</v>
      </c>
      <c r="D2041" s="67" t="s">
        <v>1785</v>
      </c>
    </row>
    <row r="2042" spans="1:4" x14ac:dyDescent="0.25">
      <c r="A2042" s="91" t="s">
        <v>3300</v>
      </c>
      <c r="B2042" s="67" t="s">
        <v>1627</v>
      </c>
      <c r="C2042" s="74">
        <f>192.69*0.8*0.95</f>
        <v>146.4444</v>
      </c>
      <c r="D2042" s="67" t="s">
        <v>1785</v>
      </c>
    </row>
    <row r="2043" spans="1:4" x14ac:dyDescent="0.25">
      <c r="A2043" s="91" t="s">
        <v>3301</v>
      </c>
      <c r="B2043" s="67" t="s">
        <v>1628</v>
      </c>
      <c r="C2043" s="74">
        <f>192.69*0.8*0.95</f>
        <v>146.4444</v>
      </c>
      <c r="D2043" s="67" t="s">
        <v>1785</v>
      </c>
    </row>
    <row r="2044" spans="1:4" x14ac:dyDescent="0.25">
      <c r="A2044" s="91" t="s">
        <v>3298</v>
      </c>
      <c r="B2044" s="67" t="s">
        <v>1629</v>
      </c>
      <c r="C2044" s="74">
        <f>134.89*0.8*0.95</f>
        <v>102.51639999999999</v>
      </c>
      <c r="D2044" s="67" t="s">
        <v>1785</v>
      </c>
    </row>
    <row r="2045" spans="1:4" x14ac:dyDescent="0.25">
      <c r="A2045" s="91" t="s">
        <v>3296</v>
      </c>
      <c r="B2045" s="67" t="s">
        <v>1630</v>
      </c>
      <c r="C2045" s="74">
        <f>134.89*0.8*0.95</f>
        <v>102.51639999999999</v>
      </c>
      <c r="D2045" s="67" t="s">
        <v>1785</v>
      </c>
    </row>
    <row r="2046" spans="1:4" x14ac:dyDescent="0.25">
      <c r="A2046" s="91" t="s">
        <v>3299</v>
      </c>
      <c r="B2046" s="67" t="s">
        <v>1631</v>
      </c>
      <c r="C2046" s="74">
        <f>204.62*0.8*0.95</f>
        <v>155.51120000000003</v>
      </c>
      <c r="D2046" s="67" t="s">
        <v>1785</v>
      </c>
    </row>
    <row r="2047" spans="1:4" x14ac:dyDescent="0.25">
      <c r="A2047" s="92" t="s">
        <v>3205</v>
      </c>
      <c r="B2047" s="67" t="s">
        <v>1632</v>
      </c>
      <c r="C2047" s="74">
        <f>12723.09*0.8*0.95</f>
        <v>9669.5484000000015</v>
      </c>
      <c r="D2047" s="67" t="s">
        <v>1784</v>
      </c>
    </row>
    <row r="2048" spans="1:4" x14ac:dyDescent="0.25">
      <c r="A2048" s="92" t="s">
        <v>3207</v>
      </c>
      <c r="B2048" s="67" t="s">
        <v>1633</v>
      </c>
      <c r="C2048" s="74">
        <f>13899.1*0.8*0.95</f>
        <v>10563.316000000001</v>
      </c>
      <c r="D2048" s="67" t="s">
        <v>1784</v>
      </c>
    </row>
    <row r="2049" spans="1:4" x14ac:dyDescent="0.25">
      <c r="A2049" s="92" t="s">
        <v>3204</v>
      </c>
      <c r="B2049" s="67" t="s">
        <v>1634</v>
      </c>
      <c r="C2049" s="74">
        <f>12164.37*0.8*0.95</f>
        <v>9244.9212000000007</v>
      </c>
      <c r="D2049" s="67" t="s">
        <v>1784</v>
      </c>
    </row>
    <row r="2050" spans="1:4" x14ac:dyDescent="0.25">
      <c r="A2050" s="92" t="s">
        <v>3062</v>
      </c>
      <c r="B2050" s="67" t="s">
        <v>1635</v>
      </c>
      <c r="C2050" s="74">
        <f>258.35*0.8*0.95</f>
        <v>196.34600000000003</v>
      </c>
      <c r="D2050" s="67" t="s">
        <v>1784</v>
      </c>
    </row>
    <row r="2051" spans="1:4" x14ac:dyDescent="0.25">
      <c r="A2051" s="91" t="s">
        <v>2754</v>
      </c>
      <c r="B2051" s="67" t="s">
        <v>1636</v>
      </c>
      <c r="C2051" s="74">
        <f>577.22*0.8*0.95</f>
        <v>438.68720000000002</v>
      </c>
      <c r="D2051" s="67" t="s">
        <v>1784</v>
      </c>
    </row>
    <row r="2052" spans="1:4" x14ac:dyDescent="0.25">
      <c r="A2052" s="91" t="s">
        <v>2755</v>
      </c>
      <c r="B2052" s="67" t="s">
        <v>1637</v>
      </c>
      <c r="C2052" s="74">
        <f>605.15*0.8*0.95</f>
        <v>459.91399999999999</v>
      </c>
      <c r="D2052" s="67" t="s">
        <v>1784</v>
      </c>
    </row>
    <row r="2053" spans="1:4" x14ac:dyDescent="0.25">
      <c r="A2053" s="92" t="s">
        <v>2986</v>
      </c>
      <c r="B2053" s="67" t="s">
        <v>1638</v>
      </c>
      <c r="C2053" s="74">
        <f>57.21*0.8*0.95</f>
        <v>43.479599999999998</v>
      </c>
      <c r="D2053" s="67" t="s">
        <v>1785</v>
      </c>
    </row>
    <row r="2054" spans="1:4" x14ac:dyDescent="0.25">
      <c r="A2054" s="91" t="s">
        <v>2974</v>
      </c>
      <c r="B2054" s="67" t="s">
        <v>1639</v>
      </c>
      <c r="C2054" s="74">
        <f>11.66*0.8*0.95</f>
        <v>8.861600000000001</v>
      </c>
      <c r="D2054" s="67" t="s">
        <v>1785</v>
      </c>
    </row>
    <row r="2055" spans="1:4" x14ac:dyDescent="0.25">
      <c r="A2055" s="91" t="s">
        <v>2974</v>
      </c>
      <c r="B2055" s="67" t="s">
        <v>1639</v>
      </c>
      <c r="C2055" s="74">
        <f>11.66*0.8*0.95</f>
        <v>8.861600000000001</v>
      </c>
      <c r="D2055" s="67" t="s">
        <v>1785</v>
      </c>
    </row>
    <row r="2056" spans="1:4" x14ac:dyDescent="0.25">
      <c r="A2056" s="91" t="s">
        <v>2974</v>
      </c>
      <c r="B2056" s="67" t="s">
        <v>1639</v>
      </c>
      <c r="C2056" s="74">
        <f>11.66*0.8*0.95</f>
        <v>8.861600000000001</v>
      </c>
      <c r="D2056" s="67" t="s">
        <v>1785</v>
      </c>
    </row>
    <row r="2057" spans="1:4" x14ac:dyDescent="0.25">
      <c r="A2057" s="91" t="s">
        <v>2974</v>
      </c>
      <c r="B2057" s="67" t="s">
        <v>1639</v>
      </c>
      <c r="C2057" s="74">
        <f>11.66*0.8*0.95</f>
        <v>8.861600000000001</v>
      </c>
      <c r="D2057" s="67" t="s">
        <v>1785</v>
      </c>
    </row>
    <row r="2058" spans="1:4" x14ac:dyDescent="0.25">
      <c r="A2058" s="91" t="s">
        <v>2992</v>
      </c>
      <c r="B2058" s="67" t="s">
        <v>1640</v>
      </c>
      <c r="C2058" s="74">
        <f>15.55*0.8*0.95</f>
        <v>11.818000000000001</v>
      </c>
      <c r="D2058" s="67" t="s">
        <v>1785</v>
      </c>
    </row>
    <row r="2059" spans="1:4" x14ac:dyDescent="0.25">
      <c r="A2059" s="91" t="s">
        <v>2973</v>
      </c>
      <c r="B2059" s="67" t="s">
        <v>1641</v>
      </c>
      <c r="C2059" s="74">
        <f>43.25*0.8*0.95</f>
        <v>32.869999999999997</v>
      </c>
      <c r="D2059" s="67" t="s">
        <v>1785</v>
      </c>
    </row>
    <row r="2060" spans="1:4" x14ac:dyDescent="0.25">
      <c r="A2060" s="91" t="s">
        <v>2973</v>
      </c>
      <c r="B2060" s="67" t="s">
        <v>1641</v>
      </c>
      <c r="C2060" s="74">
        <f>43.25*0.8*0.95</f>
        <v>32.869999999999997</v>
      </c>
      <c r="D2060" s="67" t="s">
        <v>1785</v>
      </c>
    </row>
    <row r="2061" spans="1:4" x14ac:dyDescent="0.25">
      <c r="A2061" s="91" t="s">
        <v>2973</v>
      </c>
      <c r="B2061" s="67" t="s">
        <v>1641</v>
      </c>
      <c r="C2061" s="74">
        <f>43.25*0.8*0.95</f>
        <v>32.869999999999997</v>
      </c>
      <c r="D2061" s="67" t="s">
        <v>1785</v>
      </c>
    </row>
    <row r="2062" spans="1:4" x14ac:dyDescent="0.25">
      <c r="A2062" s="91" t="s">
        <v>2973</v>
      </c>
      <c r="B2062" s="67" t="s">
        <v>1641</v>
      </c>
      <c r="C2062" s="74">
        <f>43.25*0.8*0.95</f>
        <v>32.869999999999997</v>
      </c>
      <c r="D2062" s="67" t="s">
        <v>1785</v>
      </c>
    </row>
    <row r="2063" spans="1:4" x14ac:dyDescent="0.25">
      <c r="A2063" s="91" t="s">
        <v>2969</v>
      </c>
      <c r="B2063" s="67" t="s">
        <v>1642</v>
      </c>
      <c r="C2063" s="74">
        <f t="shared" ref="C2063:C2070" si="0">14.31*0.8*0.95</f>
        <v>10.8756</v>
      </c>
      <c r="D2063" s="67" t="s">
        <v>1785</v>
      </c>
    </row>
    <row r="2064" spans="1:4" x14ac:dyDescent="0.25">
      <c r="A2064" s="91" t="s">
        <v>2969</v>
      </c>
      <c r="B2064" s="67" t="s">
        <v>1642</v>
      </c>
      <c r="C2064" s="74">
        <f t="shared" si="0"/>
        <v>10.8756</v>
      </c>
      <c r="D2064" s="67" t="s">
        <v>1785</v>
      </c>
    </row>
    <row r="2065" spans="1:4" x14ac:dyDescent="0.25">
      <c r="A2065" s="91" t="s">
        <v>2969</v>
      </c>
      <c r="B2065" s="67" t="s">
        <v>1642</v>
      </c>
      <c r="C2065" s="74">
        <f t="shared" si="0"/>
        <v>10.8756</v>
      </c>
      <c r="D2065" s="67" t="s">
        <v>1785</v>
      </c>
    </row>
    <row r="2066" spans="1:4" x14ac:dyDescent="0.25">
      <c r="A2066" s="91" t="s">
        <v>2969</v>
      </c>
      <c r="B2066" s="67" t="s">
        <v>1642</v>
      </c>
      <c r="C2066" s="74">
        <f t="shared" si="0"/>
        <v>10.8756</v>
      </c>
      <c r="D2066" s="67" t="s">
        <v>1785</v>
      </c>
    </row>
    <row r="2067" spans="1:4" x14ac:dyDescent="0.25">
      <c r="A2067" s="91" t="s">
        <v>2969</v>
      </c>
      <c r="B2067" s="67" t="s">
        <v>1642</v>
      </c>
      <c r="C2067" s="74">
        <f t="shared" si="0"/>
        <v>10.8756</v>
      </c>
      <c r="D2067" s="67" t="s">
        <v>1785</v>
      </c>
    </row>
    <row r="2068" spans="1:4" x14ac:dyDescent="0.25">
      <c r="A2068" s="91" t="s">
        <v>2969</v>
      </c>
      <c r="B2068" s="67" t="s">
        <v>1642</v>
      </c>
      <c r="C2068" s="74">
        <f t="shared" si="0"/>
        <v>10.8756</v>
      </c>
      <c r="D2068" s="67" t="s">
        <v>1785</v>
      </c>
    </row>
    <row r="2069" spans="1:4" x14ac:dyDescent="0.25">
      <c r="A2069" s="91" t="s">
        <v>2969</v>
      </c>
      <c r="B2069" s="67" t="s">
        <v>1642</v>
      </c>
      <c r="C2069" s="74">
        <f t="shared" si="0"/>
        <v>10.8756</v>
      </c>
      <c r="D2069" s="67" t="s">
        <v>1785</v>
      </c>
    </row>
    <row r="2070" spans="1:4" x14ac:dyDescent="0.25">
      <c r="A2070" s="91" t="s">
        <v>2969</v>
      </c>
      <c r="B2070" s="67" t="s">
        <v>1642</v>
      </c>
      <c r="C2070" s="74">
        <f t="shared" si="0"/>
        <v>10.8756</v>
      </c>
      <c r="D2070" s="67" t="s">
        <v>1785</v>
      </c>
    </row>
    <row r="2071" spans="1:4" x14ac:dyDescent="0.25">
      <c r="A2071" s="91" t="s">
        <v>2971</v>
      </c>
      <c r="B2071" s="67" t="s">
        <v>1643</v>
      </c>
      <c r="C2071" s="74">
        <f>12.36*0.8*0.95</f>
        <v>9.3935999999999993</v>
      </c>
      <c r="D2071" s="67" t="s">
        <v>1785</v>
      </c>
    </row>
    <row r="2072" spans="1:4" x14ac:dyDescent="0.25">
      <c r="A2072" s="91" t="s">
        <v>2971</v>
      </c>
      <c r="B2072" s="67" t="s">
        <v>1643</v>
      </c>
      <c r="C2072" s="74">
        <f>12.36*0.8*0.95</f>
        <v>9.3935999999999993</v>
      </c>
      <c r="D2072" s="67" t="s">
        <v>1785</v>
      </c>
    </row>
    <row r="2073" spans="1:4" x14ac:dyDescent="0.25">
      <c r="A2073" s="92" t="s">
        <v>2844</v>
      </c>
      <c r="B2073" s="67" t="s">
        <v>1644</v>
      </c>
      <c r="C2073" s="74">
        <f>1119.06*0.8*0.95</f>
        <v>850.48559999999998</v>
      </c>
      <c r="D2073" s="67" t="s">
        <v>1784</v>
      </c>
    </row>
    <row r="2074" spans="1:4" x14ac:dyDescent="0.25">
      <c r="A2074" s="92" t="s">
        <v>2841</v>
      </c>
      <c r="B2074" s="67" t="s">
        <v>1645</v>
      </c>
      <c r="C2074" s="74">
        <f>1050.06*0.8*0.95</f>
        <v>798.04559999999992</v>
      </c>
      <c r="D2074" s="67" t="s">
        <v>1784</v>
      </c>
    </row>
    <row r="2075" spans="1:4" x14ac:dyDescent="0.25">
      <c r="A2075" s="92" t="s">
        <v>2842</v>
      </c>
      <c r="B2075" s="67" t="s">
        <v>1646</v>
      </c>
      <c r="C2075" s="74">
        <f>905.5*0.8*0.95</f>
        <v>688.18000000000006</v>
      </c>
      <c r="D2075" s="67" t="s">
        <v>1784</v>
      </c>
    </row>
    <row r="2076" spans="1:4" x14ac:dyDescent="0.25">
      <c r="A2076" s="92" t="s">
        <v>2843</v>
      </c>
      <c r="B2076" s="67" t="s">
        <v>1647</v>
      </c>
      <c r="C2076" s="74">
        <f>917.45*0.8*0.95</f>
        <v>697.26200000000006</v>
      </c>
      <c r="D2076" s="67" t="s">
        <v>1784</v>
      </c>
    </row>
    <row r="2077" spans="1:4" x14ac:dyDescent="0.25">
      <c r="A2077" s="92" t="s">
        <v>2848</v>
      </c>
      <c r="B2077" s="67" t="s">
        <v>1648</v>
      </c>
      <c r="C2077" s="74">
        <f>439.24*0.8*0.95</f>
        <v>333.82240000000002</v>
      </c>
      <c r="D2077" s="67" t="s">
        <v>1784</v>
      </c>
    </row>
    <row r="2078" spans="1:4" x14ac:dyDescent="0.25">
      <c r="A2078" s="92" t="s">
        <v>2845</v>
      </c>
      <c r="B2078" s="67" t="s">
        <v>1649</v>
      </c>
      <c r="C2078" s="74">
        <f>415.75*0.8*0.95</f>
        <v>315.97000000000003</v>
      </c>
      <c r="D2078" s="67" t="s">
        <v>1784</v>
      </c>
    </row>
    <row r="2079" spans="1:4" x14ac:dyDescent="0.25">
      <c r="A2079" s="92" t="s">
        <v>2846</v>
      </c>
      <c r="B2079" s="67" t="s">
        <v>1650</v>
      </c>
      <c r="C2079" s="74">
        <f>331.01*0.8*0.95</f>
        <v>251.56759999999997</v>
      </c>
      <c r="D2079" s="67" t="s">
        <v>1784</v>
      </c>
    </row>
    <row r="2080" spans="1:4" x14ac:dyDescent="0.25">
      <c r="A2080" s="92" t="s">
        <v>2847</v>
      </c>
      <c r="B2080" s="67" t="s">
        <v>1651</v>
      </c>
      <c r="C2080" s="74">
        <f>337.33*0.8*0.95</f>
        <v>256.37079999999997</v>
      </c>
      <c r="D2080" s="67" t="s">
        <v>1784</v>
      </c>
    </row>
    <row r="2081" spans="1:4" ht="15.75" x14ac:dyDescent="0.25">
      <c r="A2081" s="94" t="s">
        <v>2008</v>
      </c>
      <c r="B2081" s="67">
        <v>2239</v>
      </c>
      <c r="C2081" s="75">
        <v>1028</v>
      </c>
      <c r="D2081" s="67" t="s">
        <v>1784</v>
      </c>
    </row>
    <row r="2082" spans="1:4" ht="15.75" x14ac:dyDescent="0.25">
      <c r="A2082" s="94" t="s">
        <v>2093</v>
      </c>
      <c r="B2082" s="67">
        <v>5396</v>
      </c>
      <c r="C2082" s="75">
        <v>1824</v>
      </c>
      <c r="D2082" s="67" t="s">
        <v>1784</v>
      </c>
    </row>
    <row r="2083" spans="1:4" ht="15.75" x14ac:dyDescent="0.25">
      <c r="A2083" s="94" t="s">
        <v>2094</v>
      </c>
      <c r="B2083" s="67">
        <v>2941</v>
      </c>
      <c r="C2083" s="75">
        <v>1045</v>
      </c>
      <c r="D2083" s="67" t="s">
        <v>1784</v>
      </c>
    </row>
    <row r="2084" spans="1:4" ht="15.75" x14ac:dyDescent="0.25">
      <c r="A2084" s="94" t="s">
        <v>2240</v>
      </c>
      <c r="B2084" s="67">
        <v>1372</v>
      </c>
      <c r="C2084" s="75">
        <v>3089</v>
      </c>
      <c r="D2084" s="67" t="s">
        <v>1784</v>
      </c>
    </row>
    <row r="2085" spans="1:4" ht="15.75" x14ac:dyDescent="0.25">
      <c r="A2085" s="94" t="s">
        <v>2241</v>
      </c>
      <c r="B2085" s="67">
        <v>1419</v>
      </c>
      <c r="C2085" s="75">
        <v>1010</v>
      </c>
      <c r="D2085" s="67" t="s">
        <v>1784</v>
      </c>
    </row>
    <row r="2086" spans="1:4" ht="15.75" x14ac:dyDescent="0.25">
      <c r="A2086" s="94" t="s">
        <v>2242</v>
      </c>
      <c r="B2086" s="67">
        <v>1470</v>
      </c>
      <c r="C2086" s="75">
        <v>1436</v>
      </c>
      <c r="D2086" s="67" t="s">
        <v>1784</v>
      </c>
    </row>
    <row r="2087" spans="1:4" ht="15.75" x14ac:dyDescent="0.25">
      <c r="A2087" s="94" t="s">
        <v>2354</v>
      </c>
      <c r="B2087" s="67">
        <v>4229</v>
      </c>
      <c r="C2087" s="75">
        <v>1010</v>
      </c>
      <c r="D2087" s="67" t="s">
        <v>1784</v>
      </c>
    </row>
    <row r="2088" spans="1:4" ht="15.75" x14ac:dyDescent="0.25">
      <c r="A2088" s="94" t="s">
        <v>2355</v>
      </c>
      <c r="B2088" s="67">
        <v>4232</v>
      </c>
      <c r="C2088" s="75">
        <v>1574</v>
      </c>
      <c r="D2088" s="67" t="s">
        <v>1784</v>
      </c>
    </row>
    <row r="2089" spans="1:4" ht="15.75" x14ac:dyDescent="0.25">
      <c r="A2089" s="94" t="s">
        <v>2356</v>
      </c>
      <c r="B2089" s="67">
        <v>5239</v>
      </c>
      <c r="C2089" s="75">
        <v>2790</v>
      </c>
      <c r="D2089" s="67" t="s">
        <v>1784</v>
      </c>
    </row>
    <row r="2090" spans="1:4" x14ac:dyDescent="0.25">
      <c r="A2090" s="91" t="s">
        <v>3305</v>
      </c>
      <c r="B2090" s="67" t="s">
        <v>1652</v>
      </c>
      <c r="C2090" s="74">
        <f>54.86*0.8*0.95</f>
        <v>41.693600000000004</v>
      </c>
      <c r="D2090" s="67" t="s">
        <v>1784</v>
      </c>
    </row>
    <row r="2091" spans="1:4" x14ac:dyDescent="0.25">
      <c r="A2091" s="91" t="s">
        <v>2895</v>
      </c>
      <c r="B2091" s="67" t="s">
        <v>1653</v>
      </c>
      <c r="C2091" s="74">
        <f>3.8*0.8*0.95</f>
        <v>2.8879999999999999</v>
      </c>
      <c r="D2091" s="67" t="s">
        <v>1785</v>
      </c>
    </row>
    <row r="2092" spans="1:4" x14ac:dyDescent="0.25">
      <c r="A2092" s="91" t="s">
        <v>2903</v>
      </c>
      <c r="B2092" s="67" t="s">
        <v>1654</v>
      </c>
      <c r="C2092" s="74">
        <f>159.25*0.8*0.95</f>
        <v>121.03</v>
      </c>
      <c r="D2092" s="67" t="s">
        <v>1784</v>
      </c>
    </row>
    <row r="2093" spans="1:4" x14ac:dyDescent="0.25">
      <c r="A2093" s="91" t="s">
        <v>2904</v>
      </c>
      <c r="B2093" s="67" t="s">
        <v>1655</v>
      </c>
      <c r="C2093" s="74">
        <f>179.9*0.8*0.95</f>
        <v>136.72400000000002</v>
      </c>
      <c r="D2093" s="67" t="s">
        <v>1784</v>
      </c>
    </row>
    <row r="2094" spans="1:4" x14ac:dyDescent="0.25">
      <c r="A2094" s="92" t="s">
        <v>2888</v>
      </c>
      <c r="B2094" s="67" t="s">
        <v>1656</v>
      </c>
      <c r="C2094" s="74">
        <f>61.85*0.8*0.95</f>
        <v>47.006</v>
      </c>
      <c r="D2094" s="67" t="s">
        <v>1784</v>
      </c>
    </row>
    <row r="2095" spans="1:4" x14ac:dyDescent="0.25">
      <c r="A2095" s="92" t="s">
        <v>2888</v>
      </c>
      <c r="B2095" s="67" t="s">
        <v>1656</v>
      </c>
      <c r="C2095" s="74">
        <f>61.85*0.8*0.95</f>
        <v>47.006</v>
      </c>
      <c r="D2095" s="67" t="s">
        <v>1784</v>
      </c>
    </row>
    <row r="2096" spans="1:4" x14ac:dyDescent="0.25">
      <c r="A2096" s="92" t="s">
        <v>2888</v>
      </c>
      <c r="B2096" s="67" t="s">
        <v>1656</v>
      </c>
      <c r="C2096" s="74">
        <f>61.85*0.8*0.95</f>
        <v>47.006</v>
      </c>
      <c r="D2096" s="67" t="s">
        <v>1784</v>
      </c>
    </row>
    <row r="2097" spans="1:4" x14ac:dyDescent="0.25">
      <c r="A2097" s="92" t="s">
        <v>2886</v>
      </c>
      <c r="B2097" s="67" t="s">
        <v>1657</v>
      </c>
      <c r="C2097" s="74">
        <f>51.87*0.8*0.95</f>
        <v>39.421199999999999</v>
      </c>
      <c r="D2097" s="67" t="s">
        <v>1784</v>
      </c>
    </row>
    <row r="2098" spans="1:4" x14ac:dyDescent="0.25">
      <c r="A2098" s="92" t="s">
        <v>2886</v>
      </c>
      <c r="B2098" s="67" t="s">
        <v>1657</v>
      </c>
      <c r="C2098" s="74">
        <f>51.8*0.8*0.957</f>
        <v>39.658079999999998</v>
      </c>
      <c r="D2098" s="67" t="s">
        <v>1784</v>
      </c>
    </row>
    <row r="2099" spans="1:4" x14ac:dyDescent="0.25">
      <c r="A2099" s="92" t="s">
        <v>2887</v>
      </c>
      <c r="B2099" s="67" t="s">
        <v>1658</v>
      </c>
      <c r="C2099" s="74">
        <f>43.23*0.8*0.95</f>
        <v>32.854799999999997</v>
      </c>
      <c r="D2099" s="67" t="s">
        <v>1784</v>
      </c>
    </row>
    <row r="2100" spans="1:4" x14ac:dyDescent="0.25">
      <c r="A2100" s="92" t="s">
        <v>2887</v>
      </c>
      <c r="B2100" s="67" t="s">
        <v>1658</v>
      </c>
      <c r="C2100" s="74">
        <f>43.23*0.8*0.95</f>
        <v>32.854799999999997</v>
      </c>
      <c r="D2100" s="67" t="s">
        <v>1784</v>
      </c>
    </row>
    <row r="2101" spans="1:4" x14ac:dyDescent="0.25">
      <c r="A2101" s="92" t="s">
        <v>2887</v>
      </c>
      <c r="B2101" s="67" t="s">
        <v>1658</v>
      </c>
      <c r="C2101" s="74">
        <f>43.23*0.8*0.95</f>
        <v>32.854799999999997</v>
      </c>
      <c r="D2101" s="67" t="s">
        <v>1784</v>
      </c>
    </row>
    <row r="2102" spans="1:4" x14ac:dyDescent="0.25">
      <c r="A2102" s="92" t="s">
        <v>2944</v>
      </c>
      <c r="B2102" s="67" t="s">
        <v>1659</v>
      </c>
      <c r="C2102" s="74">
        <f>77.35*0.8*0.95</f>
        <v>58.785999999999994</v>
      </c>
      <c r="D2102" s="67" t="s">
        <v>1784</v>
      </c>
    </row>
    <row r="2103" spans="1:4" x14ac:dyDescent="0.25">
      <c r="A2103" s="91" t="s">
        <v>3252</v>
      </c>
      <c r="B2103" s="67" t="s">
        <v>1660</v>
      </c>
      <c r="C2103" s="74">
        <f>213.96*0.8*0.95</f>
        <v>162.6096</v>
      </c>
      <c r="D2103" s="67" t="s">
        <v>1784</v>
      </c>
    </row>
    <row r="2104" spans="1:4" x14ac:dyDescent="0.25">
      <c r="A2104" s="91" t="s">
        <v>3253</v>
      </c>
      <c r="B2104" s="67" t="s">
        <v>1661</v>
      </c>
      <c r="C2104" s="74">
        <f>241.05*0.8*0.95</f>
        <v>183.19800000000001</v>
      </c>
      <c r="D2104" s="67" t="s">
        <v>1784</v>
      </c>
    </row>
    <row r="2105" spans="1:4" x14ac:dyDescent="0.25">
      <c r="A2105" s="91" t="s">
        <v>3254</v>
      </c>
      <c r="B2105" s="67" t="s">
        <v>1662</v>
      </c>
      <c r="C2105" s="74">
        <f>268.13*0.8*0.95</f>
        <v>203.77880000000002</v>
      </c>
      <c r="D2105" s="67" t="s">
        <v>1784</v>
      </c>
    </row>
    <row r="2106" spans="1:4" x14ac:dyDescent="0.25">
      <c r="A2106" s="91" t="s">
        <v>3255</v>
      </c>
      <c r="B2106" s="67" t="s">
        <v>1663</v>
      </c>
      <c r="C2106" s="74">
        <f>317.18*0.8*0.95</f>
        <v>241.05680000000001</v>
      </c>
      <c r="D2106" s="67" t="s">
        <v>1784</v>
      </c>
    </row>
    <row r="2107" spans="1:4" x14ac:dyDescent="0.25">
      <c r="A2107" s="91" t="s">
        <v>3256</v>
      </c>
      <c r="B2107" s="67" t="s">
        <v>1664</v>
      </c>
      <c r="C2107" s="74">
        <f>353.87*0.8*0.95</f>
        <v>268.94119999999998</v>
      </c>
      <c r="D2107" s="67" t="s">
        <v>1784</v>
      </c>
    </row>
    <row r="2108" spans="1:4" x14ac:dyDescent="0.25">
      <c r="A2108" s="91" t="s">
        <v>3257</v>
      </c>
      <c r="B2108" s="67" t="s">
        <v>1665</v>
      </c>
      <c r="C2108" s="74">
        <f>402.93*0.8*0.95</f>
        <v>306.22680000000003</v>
      </c>
      <c r="D2108" s="67" t="s">
        <v>1784</v>
      </c>
    </row>
    <row r="2109" spans="1:4" ht="15.75" x14ac:dyDescent="0.25">
      <c r="A2109" s="94" t="s">
        <v>3353</v>
      </c>
      <c r="B2109" s="67" t="s">
        <v>1920</v>
      </c>
      <c r="C2109" s="75">
        <v>720</v>
      </c>
      <c r="D2109" s="67" t="s">
        <v>1784</v>
      </c>
    </row>
    <row r="2110" spans="1:4" ht="15.75" x14ac:dyDescent="0.25">
      <c r="A2110" s="94" t="s">
        <v>3353</v>
      </c>
      <c r="B2110" s="67" t="s">
        <v>1921</v>
      </c>
      <c r="C2110" s="75">
        <v>360</v>
      </c>
      <c r="D2110" s="67" t="s">
        <v>1784</v>
      </c>
    </row>
    <row r="2111" spans="1:4" x14ac:dyDescent="0.25">
      <c r="A2111" s="92" t="s">
        <v>3215</v>
      </c>
      <c r="B2111" s="67" t="s">
        <v>1666</v>
      </c>
      <c r="C2111" s="74">
        <f>150.52*0.8*0.95</f>
        <v>114.3952</v>
      </c>
      <c r="D2111" s="67" t="s">
        <v>1784</v>
      </c>
    </row>
    <row r="2112" spans="1:4" ht="15.75" x14ac:dyDescent="0.25">
      <c r="A2112" s="94" t="s">
        <v>3357</v>
      </c>
      <c r="B2112" s="67" t="s">
        <v>1925</v>
      </c>
      <c r="C2112" s="75">
        <v>2475</v>
      </c>
      <c r="D2112" s="67" t="s">
        <v>1784</v>
      </c>
    </row>
    <row r="2113" spans="1:4" ht="15.75" x14ac:dyDescent="0.25">
      <c r="A2113" s="94" t="s">
        <v>3356</v>
      </c>
      <c r="B2113" s="67" t="s">
        <v>1924</v>
      </c>
      <c r="C2113" s="75">
        <v>2475</v>
      </c>
      <c r="D2113" s="67" t="s">
        <v>1784</v>
      </c>
    </row>
    <row r="2114" spans="1:4" ht="15.75" x14ac:dyDescent="0.25">
      <c r="A2114" s="94" t="s">
        <v>3355</v>
      </c>
      <c r="B2114" s="67" t="s">
        <v>1923</v>
      </c>
      <c r="C2114" s="75">
        <v>2475</v>
      </c>
      <c r="D2114" s="67" t="s">
        <v>1784</v>
      </c>
    </row>
    <row r="2115" spans="1:4" x14ac:dyDescent="0.25">
      <c r="A2115" s="92" t="s">
        <v>3206</v>
      </c>
      <c r="B2115" s="67" t="s">
        <v>1667</v>
      </c>
      <c r="C2115" s="74">
        <f>13373.06*0.8*0.95</f>
        <v>10163.525599999999</v>
      </c>
      <c r="D2115" s="67" t="s">
        <v>1784</v>
      </c>
    </row>
    <row r="2116" spans="1:4" x14ac:dyDescent="0.25">
      <c r="A2116" s="92" t="s">
        <v>3203</v>
      </c>
      <c r="B2116" s="67" t="s">
        <v>1668</v>
      </c>
      <c r="C2116" s="74">
        <f>13064.62*0.8*0.95</f>
        <v>9929.1112000000012</v>
      </c>
      <c r="D2116" s="67" t="s">
        <v>1784</v>
      </c>
    </row>
    <row r="2117" spans="1:4" x14ac:dyDescent="0.25">
      <c r="A2117" s="91" t="s">
        <v>3115</v>
      </c>
      <c r="B2117" s="67" t="s">
        <v>1669</v>
      </c>
      <c r="C2117" s="74">
        <v>0.01</v>
      </c>
      <c r="D2117" s="67" t="s">
        <v>1785</v>
      </c>
    </row>
    <row r="2118" spans="1:4" ht="15.75" x14ac:dyDescent="0.25">
      <c r="A2118" s="94" t="s">
        <v>2009</v>
      </c>
      <c r="B2118" s="67">
        <v>2566</v>
      </c>
      <c r="C2118" s="75">
        <v>3278</v>
      </c>
      <c r="D2118" s="67" t="s">
        <v>1784</v>
      </c>
    </row>
    <row r="2119" spans="1:4" ht="15.75" x14ac:dyDescent="0.25">
      <c r="A2119" s="94" t="s">
        <v>2095</v>
      </c>
      <c r="B2119" s="67">
        <v>3129</v>
      </c>
      <c r="C2119" s="75">
        <v>3787</v>
      </c>
      <c r="D2119" s="67" t="s">
        <v>1784</v>
      </c>
    </row>
    <row r="2120" spans="1:4" ht="15.75" x14ac:dyDescent="0.25">
      <c r="A2120" s="94" t="s">
        <v>2243</v>
      </c>
      <c r="B2120" s="67">
        <v>1651</v>
      </c>
      <c r="C2120" s="75">
        <v>4455</v>
      </c>
      <c r="D2120" s="67" t="s">
        <v>1784</v>
      </c>
    </row>
    <row r="2121" spans="1:4" ht="15.75" x14ac:dyDescent="0.25">
      <c r="A2121" s="94" t="s">
        <v>2244</v>
      </c>
      <c r="B2121" s="67">
        <v>1142</v>
      </c>
      <c r="C2121" s="75">
        <v>4115</v>
      </c>
      <c r="D2121" s="67" t="s">
        <v>1784</v>
      </c>
    </row>
    <row r="2122" spans="1:4" ht="15.75" x14ac:dyDescent="0.25">
      <c r="A2122" s="94" t="s">
        <v>2245</v>
      </c>
      <c r="B2122" s="67">
        <v>3059</v>
      </c>
      <c r="C2122" s="75">
        <v>6495</v>
      </c>
      <c r="D2122" s="67" t="s">
        <v>1784</v>
      </c>
    </row>
    <row r="2123" spans="1:4" ht="15.75" x14ac:dyDescent="0.25">
      <c r="A2123" s="94" t="s">
        <v>2246</v>
      </c>
      <c r="B2123" s="67">
        <v>3027</v>
      </c>
      <c r="C2123" s="75">
        <v>11307</v>
      </c>
      <c r="D2123" s="67" t="s">
        <v>1784</v>
      </c>
    </row>
    <row r="2124" spans="1:4" ht="15.75" x14ac:dyDescent="0.25">
      <c r="A2124" s="94" t="s">
        <v>2247</v>
      </c>
      <c r="B2124" s="67">
        <v>1668</v>
      </c>
      <c r="C2124" s="75">
        <v>7705</v>
      </c>
      <c r="D2124" s="67" t="s">
        <v>1784</v>
      </c>
    </row>
    <row r="2125" spans="1:4" ht="15.75" x14ac:dyDescent="0.25">
      <c r="A2125" s="94" t="s">
        <v>2357</v>
      </c>
      <c r="B2125" s="67">
        <v>4394</v>
      </c>
      <c r="C2125" s="75">
        <v>13274</v>
      </c>
      <c r="D2125" s="67" t="s">
        <v>1784</v>
      </c>
    </row>
    <row r="2126" spans="1:4" ht="15.75" x14ac:dyDescent="0.25">
      <c r="A2126" s="94" t="s">
        <v>2358</v>
      </c>
      <c r="B2126" s="67">
        <v>4785</v>
      </c>
      <c r="C2126" s="75">
        <v>5970</v>
      </c>
      <c r="D2126" s="67" t="s">
        <v>1784</v>
      </c>
    </row>
    <row r="2127" spans="1:4" x14ac:dyDescent="0.25">
      <c r="A2127" s="91" t="s">
        <v>3110</v>
      </c>
      <c r="B2127" s="67" t="s">
        <v>1670</v>
      </c>
      <c r="C2127" s="74">
        <f>102.67*0.8*0.95</f>
        <v>78.029200000000003</v>
      </c>
      <c r="D2127" s="67" t="s">
        <v>1785</v>
      </c>
    </row>
    <row r="2128" spans="1:4" x14ac:dyDescent="0.25">
      <c r="A2128" s="92" t="s">
        <v>3112</v>
      </c>
      <c r="B2128" s="67" t="s">
        <v>1671</v>
      </c>
      <c r="C2128" s="74">
        <f>158.5*0.8*0.95</f>
        <v>120.46000000000001</v>
      </c>
      <c r="D2128" s="67" t="s">
        <v>1785</v>
      </c>
    </row>
    <row r="2129" spans="1:4" ht="15.75" x14ac:dyDescent="0.25">
      <c r="A2129" s="94" t="s">
        <v>2010</v>
      </c>
      <c r="B2129" s="67">
        <v>2502</v>
      </c>
      <c r="C2129" s="75">
        <v>1787</v>
      </c>
      <c r="D2129" s="67" t="s">
        <v>1784</v>
      </c>
    </row>
    <row r="2130" spans="1:4" ht="15.75" x14ac:dyDescent="0.25">
      <c r="A2130" s="94" t="s">
        <v>2011</v>
      </c>
      <c r="B2130" s="67">
        <v>2507</v>
      </c>
      <c r="C2130" s="75">
        <v>2361</v>
      </c>
      <c r="D2130" s="67" t="s">
        <v>1784</v>
      </c>
    </row>
    <row r="2131" spans="1:4" ht="15.75" x14ac:dyDescent="0.25">
      <c r="A2131" s="94" t="s">
        <v>2012</v>
      </c>
      <c r="B2131" s="67">
        <v>2750</v>
      </c>
      <c r="C2131" s="75">
        <v>4922</v>
      </c>
      <c r="D2131" s="67" t="s">
        <v>1784</v>
      </c>
    </row>
    <row r="2132" spans="1:4" ht="15.75" x14ac:dyDescent="0.25">
      <c r="A2132" s="94" t="s">
        <v>2013</v>
      </c>
      <c r="B2132" s="67">
        <v>2751</v>
      </c>
      <c r="C2132" s="75">
        <v>4721</v>
      </c>
      <c r="D2132" s="67" t="s">
        <v>1784</v>
      </c>
    </row>
    <row r="2133" spans="1:4" ht="15.75" x14ac:dyDescent="0.25">
      <c r="A2133" s="94" t="s">
        <v>2096</v>
      </c>
      <c r="B2133" s="67">
        <v>3128</v>
      </c>
      <c r="C2133" s="75">
        <v>2052</v>
      </c>
      <c r="D2133" s="67" t="s">
        <v>1784</v>
      </c>
    </row>
    <row r="2134" spans="1:4" ht="15.75" x14ac:dyDescent="0.25">
      <c r="A2134" s="94" t="s">
        <v>2476</v>
      </c>
      <c r="B2134" s="67">
        <v>4980</v>
      </c>
      <c r="C2134" s="75">
        <v>5478</v>
      </c>
      <c r="D2134" s="67" t="s">
        <v>1784</v>
      </c>
    </row>
    <row r="2135" spans="1:4" ht="15.75" x14ac:dyDescent="0.25">
      <c r="A2135" s="94" t="s">
        <v>2248</v>
      </c>
      <c r="B2135" s="67">
        <v>1522</v>
      </c>
      <c r="C2135" s="75">
        <v>1735</v>
      </c>
      <c r="D2135" s="67" t="s">
        <v>1784</v>
      </c>
    </row>
    <row r="2136" spans="1:4" ht="15.75" x14ac:dyDescent="0.25">
      <c r="A2136" s="94" t="s">
        <v>2249</v>
      </c>
      <c r="B2136" s="67">
        <v>1385</v>
      </c>
      <c r="C2136" s="75">
        <v>1896</v>
      </c>
      <c r="D2136" s="67" t="s">
        <v>1784</v>
      </c>
    </row>
    <row r="2137" spans="1:4" ht="15.75" x14ac:dyDescent="0.25">
      <c r="A2137" s="94" t="s">
        <v>2250</v>
      </c>
      <c r="B2137" s="67">
        <v>3728</v>
      </c>
      <c r="C2137" s="75">
        <v>1274</v>
      </c>
      <c r="D2137" s="67" t="s">
        <v>1784</v>
      </c>
    </row>
    <row r="2138" spans="1:4" ht="15.75" x14ac:dyDescent="0.25">
      <c r="A2138" s="94" t="s">
        <v>2251</v>
      </c>
      <c r="B2138" s="67">
        <v>3382</v>
      </c>
      <c r="C2138" s="75">
        <v>5181</v>
      </c>
      <c r="D2138" s="67" t="s">
        <v>1784</v>
      </c>
    </row>
    <row r="2139" spans="1:4" ht="15.75" x14ac:dyDescent="0.25">
      <c r="A2139" s="94" t="s">
        <v>2252</v>
      </c>
      <c r="B2139" s="67">
        <v>3383</v>
      </c>
      <c r="C2139" s="75">
        <v>5244</v>
      </c>
      <c r="D2139" s="67" t="s">
        <v>1784</v>
      </c>
    </row>
    <row r="2140" spans="1:4" ht="15.75" x14ac:dyDescent="0.25">
      <c r="A2140" s="94" t="s">
        <v>1937</v>
      </c>
      <c r="B2140" s="67">
        <v>4224</v>
      </c>
      <c r="C2140" s="75">
        <v>4455</v>
      </c>
      <c r="D2140" s="67" t="s">
        <v>1784</v>
      </c>
    </row>
    <row r="2141" spans="1:4" ht="15.75" x14ac:dyDescent="0.25">
      <c r="A2141" s="94" t="s">
        <v>2359</v>
      </c>
      <c r="B2141" s="67">
        <v>5234</v>
      </c>
      <c r="C2141" s="75">
        <v>4990</v>
      </c>
      <c r="D2141" s="67" t="s">
        <v>1784</v>
      </c>
    </row>
    <row r="2142" spans="1:4" ht="15.75" x14ac:dyDescent="0.25">
      <c r="A2142" s="94" t="s">
        <v>2097</v>
      </c>
      <c r="B2142" s="67">
        <v>5433</v>
      </c>
      <c r="C2142" s="75">
        <v>8108</v>
      </c>
      <c r="D2142" s="67" t="s">
        <v>1784</v>
      </c>
    </row>
    <row r="2143" spans="1:4" ht="15.75" x14ac:dyDescent="0.25">
      <c r="A2143" s="94" t="s">
        <v>2360</v>
      </c>
      <c r="B2143" s="67">
        <v>5235</v>
      </c>
      <c r="C2143" s="75">
        <v>7890</v>
      </c>
      <c r="D2143" s="67" t="s">
        <v>1784</v>
      </c>
    </row>
    <row r="2144" spans="1:4" ht="15.75" x14ac:dyDescent="0.25">
      <c r="A2144" s="94" t="s">
        <v>2402</v>
      </c>
      <c r="B2144" s="67">
        <v>2527</v>
      </c>
      <c r="C2144" s="75">
        <v>440</v>
      </c>
      <c r="D2144" s="67" t="s">
        <v>1784</v>
      </c>
    </row>
    <row r="2145" spans="1:4" x14ac:dyDescent="0.25">
      <c r="A2145" s="91" t="s">
        <v>2866</v>
      </c>
      <c r="B2145" s="67" t="s">
        <v>1672</v>
      </c>
      <c r="C2145" s="74">
        <f>479.73*0.8*0.95</f>
        <v>364.59480000000002</v>
      </c>
      <c r="D2145" s="67" t="s">
        <v>1784</v>
      </c>
    </row>
    <row r="2146" spans="1:4" x14ac:dyDescent="0.25">
      <c r="A2146" s="91" t="s">
        <v>2865</v>
      </c>
      <c r="B2146" s="67" t="s">
        <v>1673</v>
      </c>
      <c r="C2146" s="74">
        <f>404.82*0.8*0.95</f>
        <v>307.66319999999996</v>
      </c>
      <c r="D2146" s="67" t="s">
        <v>1784</v>
      </c>
    </row>
    <row r="2147" spans="1:4" x14ac:dyDescent="0.25">
      <c r="A2147" s="91" t="s">
        <v>3179</v>
      </c>
      <c r="B2147" s="67" t="s">
        <v>1674</v>
      </c>
      <c r="C2147" s="74">
        <f>535.5*0.8*0.95</f>
        <v>406.98</v>
      </c>
      <c r="D2147" s="67" t="s">
        <v>1784</v>
      </c>
    </row>
    <row r="2148" spans="1:4" x14ac:dyDescent="0.25">
      <c r="A2148" s="91" t="s">
        <v>2990</v>
      </c>
      <c r="B2148" s="67" t="s">
        <v>1675</v>
      </c>
      <c r="C2148" s="74">
        <f>19.75*0.8*0.95</f>
        <v>15.01</v>
      </c>
      <c r="D2148" s="67" t="s">
        <v>1785</v>
      </c>
    </row>
    <row r="2149" spans="1:4" x14ac:dyDescent="0.25">
      <c r="A2149" s="91" t="s">
        <v>2989</v>
      </c>
      <c r="B2149" s="67" t="s">
        <v>1676</v>
      </c>
      <c r="C2149" s="74">
        <f>17.65*0.8*0.95</f>
        <v>13.413999999999998</v>
      </c>
      <c r="D2149" s="67" t="s">
        <v>1785</v>
      </c>
    </row>
    <row r="2150" spans="1:4" x14ac:dyDescent="0.25">
      <c r="A2150" s="91" t="s">
        <v>3191</v>
      </c>
      <c r="B2150" s="67" t="s">
        <v>1677</v>
      </c>
      <c r="C2150" s="74">
        <f>976.47*0.8*0.95</f>
        <v>742.11720000000003</v>
      </c>
      <c r="D2150" s="67" t="s">
        <v>1784</v>
      </c>
    </row>
    <row r="2151" spans="1:4" x14ac:dyDescent="0.25">
      <c r="A2151" s="91" t="s">
        <v>3191</v>
      </c>
      <c r="B2151" s="67" t="s">
        <v>1677</v>
      </c>
      <c r="C2151" s="74">
        <f>976.47*0.8*0.95</f>
        <v>742.11720000000003</v>
      </c>
      <c r="D2151" s="67" t="s">
        <v>1784</v>
      </c>
    </row>
    <row r="2152" spans="1:4" x14ac:dyDescent="0.25">
      <c r="A2152" s="91" t="s">
        <v>3214</v>
      </c>
      <c r="B2152" s="67" t="s">
        <v>1678</v>
      </c>
      <c r="C2152" s="74">
        <f>2500.81*0.8*0.95</f>
        <v>1900.6156000000001</v>
      </c>
      <c r="D2152" s="67" t="s">
        <v>1784</v>
      </c>
    </row>
    <row r="2153" spans="1:4" x14ac:dyDescent="0.25">
      <c r="A2153" s="91" t="s">
        <v>2968</v>
      </c>
      <c r="B2153" s="67" t="s">
        <v>1679</v>
      </c>
      <c r="C2153" s="74">
        <f t="shared" ref="C2153:C2160" si="1">73.74*0.8*0.95</f>
        <v>56.042399999999994</v>
      </c>
      <c r="D2153" s="67" t="s">
        <v>1785</v>
      </c>
    </row>
    <row r="2154" spans="1:4" x14ac:dyDescent="0.25">
      <c r="A2154" s="91" t="s">
        <v>2968</v>
      </c>
      <c r="B2154" s="67" t="s">
        <v>1679</v>
      </c>
      <c r="C2154" s="74">
        <f t="shared" si="1"/>
        <v>56.042399999999994</v>
      </c>
      <c r="D2154" s="67" t="s">
        <v>1785</v>
      </c>
    </row>
    <row r="2155" spans="1:4" x14ac:dyDescent="0.25">
      <c r="A2155" s="91" t="s">
        <v>2968</v>
      </c>
      <c r="B2155" s="67" t="s">
        <v>1679</v>
      </c>
      <c r="C2155" s="74">
        <f t="shared" si="1"/>
        <v>56.042399999999994</v>
      </c>
      <c r="D2155" s="67" t="s">
        <v>1785</v>
      </c>
    </row>
    <row r="2156" spans="1:4" x14ac:dyDescent="0.25">
      <c r="A2156" s="91" t="s">
        <v>2968</v>
      </c>
      <c r="B2156" s="67" t="s">
        <v>1679</v>
      </c>
      <c r="C2156" s="74">
        <f t="shared" si="1"/>
        <v>56.042399999999994</v>
      </c>
      <c r="D2156" s="67" t="s">
        <v>1785</v>
      </c>
    </row>
    <row r="2157" spans="1:4" x14ac:dyDescent="0.25">
      <c r="A2157" s="91" t="s">
        <v>2968</v>
      </c>
      <c r="B2157" s="67" t="s">
        <v>1679</v>
      </c>
      <c r="C2157" s="74">
        <f t="shared" si="1"/>
        <v>56.042399999999994</v>
      </c>
      <c r="D2157" s="67" t="s">
        <v>1785</v>
      </c>
    </row>
    <row r="2158" spans="1:4" x14ac:dyDescent="0.25">
      <c r="A2158" s="91" t="s">
        <v>2968</v>
      </c>
      <c r="B2158" s="67" t="s">
        <v>1679</v>
      </c>
      <c r="C2158" s="74">
        <f t="shared" si="1"/>
        <v>56.042399999999994</v>
      </c>
      <c r="D2158" s="67" t="s">
        <v>1785</v>
      </c>
    </row>
    <row r="2159" spans="1:4" x14ac:dyDescent="0.25">
      <c r="A2159" s="91" t="s">
        <v>2968</v>
      </c>
      <c r="B2159" s="67" t="s">
        <v>1679</v>
      </c>
      <c r="C2159" s="74">
        <f t="shared" si="1"/>
        <v>56.042399999999994</v>
      </c>
      <c r="D2159" s="67" t="s">
        <v>1785</v>
      </c>
    </row>
    <row r="2160" spans="1:4" x14ac:dyDescent="0.25">
      <c r="A2160" s="91" t="s">
        <v>2968</v>
      </c>
      <c r="B2160" s="67" t="s">
        <v>1679</v>
      </c>
      <c r="C2160" s="74">
        <f t="shared" si="1"/>
        <v>56.042399999999994</v>
      </c>
      <c r="D2160" s="67" t="s">
        <v>1785</v>
      </c>
    </row>
    <row r="2161" spans="1:4" x14ac:dyDescent="0.25">
      <c r="A2161" s="91" t="s">
        <v>3022</v>
      </c>
      <c r="B2161" s="67" t="s">
        <v>1680</v>
      </c>
      <c r="C2161" s="74">
        <f>1786.75*0.8*0.95</f>
        <v>1357.93</v>
      </c>
      <c r="D2161" s="67" t="s">
        <v>1784</v>
      </c>
    </row>
    <row r="2162" spans="1:4" x14ac:dyDescent="0.25">
      <c r="A2162" s="91" t="s">
        <v>3023</v>
      </c>
      <c r="B2162" s="67" t="s">
        <v>1681</v>
      </c>
      <c r="C2162" s="74">
        <f>2857.4*0.8*0.95</f>
        <v>2171.6239999999998</v>
      </c>
      <c r="D2162" s="67" t="s">
        <v>1784</v>
      </c>
    </row>
    <row r="2163" spans="1:4" ht="15.75" x14ac:dyDescent="0.25">
      <c r="A2163" s="94" t="s">
        <v>2403</v>
      </c>
      <c r="B2163" s="67">
        <v>2635</v>
      </c>
      <c r="C2163" s="75">
        <v>1680</v>
      </c>
      <c r="D2163" s="67" t="s">
        <v>1784</v>
      </c>
    </row>
    <row r="2164" spans="1:4" ht="15.75" x14ac:dyDescent="0.25">
      <c r="A2164" s="94" t="s">
        <v>2014</v>
      </c>
      <c r="B2164" s="67">
        <v>3163</v>
      </c>
      <c r="C2164" s="75">
        <v>1978</v>
      </c>
      <c r="D2164" s="67" t="s">
        <v>1784</v>
      </c>
    </row>
    <row r="2165" spans="1:4" ht="15.75" x14ac:dyDescent="0.25">
      <c r="A2165" s="94" t="s">
        <v>2015</v>
      </c>
      <c r="B2165" s="67">
        <v>3162</v>
      </c>
      <c r="C2165" s="75">
        <v>3639</v>
      </c>
      <c r="D2165" s="67" t="s">
        <v>1784</v>
      </c>
    </row>
    <row r="2166" spans="1:4" ht="15.75" x14ac:dyDescent="0.25">
      <c r="A2166" s="94" t="s">
        <v>2016</v>
      </c>
      <c r="B2166" s="67">
        <v>3149</v>
      </c>
      <c r="C2166" s="75">
        <v>2412</v>
      </c>
      <c r="D2166" s="67" t="s">
        <v>1784</v>
      </c>
    </row>
    <row r="2167" spans="1:4" ht="15.75" x14ac:dyDescent="0.25">
      <c r="A2167" s="94" t="s">
        <v>2017</v>
      </c>
      <c r="B2167" s="67">
        <v>2515</v>
      </c>
      <c r="C2167" s="75">
        <v>941</v>
      </c>
      <c r="D2167" s="67" t="s">
        <v>1784</v>
      </c>
    </row>
    <row r="2168" spans="1:4" ht="15.75" x14ac:dyDescent="0.25">
      <c r="A2168" s="94" t="s">
        <v>2018</v>
      </c>
      <c r="B2168" s="67">
        <v>2517</v>
      </c>
      <c r="C2168" s="75">
        <v>1029</v>
      </c>
      <c r="D2168" s="67" t="s">
        <v>1784</v>
      </c>
    </row>
    <row r="2169" spans="1:4" ht="15.75" x14ac:dyDescent="0.25">
      <c r="A2169" s="94" t="s">
        <v>2019</v>
      </c>
      <c r="B2169" s="67">
        <v>2590</v>
      </c>
      <c r="C2169" s="75">
        <v>1244</v>
      </c>
      <c r="D2169" s="67" t="s">
        <v>1784</v>
      </c>
    </row>
    <row r="2170" spans="1:4" ht="15.75" x14ac:dyDescent="0.25">
      <c r="A2170" s="94" t="s">
        <v>2020</v>
      </c>
      <c r="B2170" s="67">
        <v>2618</v>
      </c>
      <c r="C2170" s="75">
        <v>1689</v>
      </c>
      <c r="D2170" s="67" t="s">
        <v>1784</v>
      </c>
    </row>
    <row r="2171" spans="1:4" ht="15.75" x14ac:dyDescent="0.25">
      <c r="A2171" s="94" t="s">
        <v>2021</v>
      </c>
      <c r="B2171" s="67">
        <v>2718</v>
      </c>
      <c r="C2171" s="75">
        <v>2297</v>
      </c>
      <c r="D2171" s="67" t="s">
        <v>1784</v>
      </c>
    </row>
    <row r="2172" spans="1:4" ht="15.75" x14ac:dyDescent="0.25">
      <c r="A2172" s="94" t="s">
        <v>2098</v>
      </c>
      <c r="B2172" s="67">
        <v>3122</v>
      </c>
      <c r="C2172" s="75">
        <v>2616</v>
      </c>
      <c r="D2172" s="67" t="s">
        <v>1784</v>
      </c>
    </row>
    <row r="2173" spans="1:4" ht="15.75" x14ac:dyDescent="0.25">
      <c r="A2173" s="94" t="s">
        <v>2099</v>
      </c>
      <c r="B2173" s="67">
        <v>3320</v>
      </c>
      <c r="C2173" s="75">
        <v>4227</v>
      </c>
      <c r="D2173" s="67" t="s">
        <v>1784</v>
      </c>
    </row>
    <row r="2174" spans="1:4" ht="15.75" x14ac:dyDescent="0.25">
      <c r="A2174" s="94" t="s">
        <v>2100</v>
      </c>
      <c r="B2174" s="67">
        <v>5424</v>
      </c>
      <c r="C2174" s="75">
        <v>2937</v>
      </c>
      <c r="D2174" s="67" t="s">
        <v>1784</v>
      </c>
    </row>
    <row r="2175" spans="1:4" ht="15.75" x14ac:dyDescent="0.25">
      <c r="A2175" s="94" t="s">
        <v>2439</v>
      </c>
      <c r="B2175" s="67">
        <v>3269</v>
      </c>
      <c r="C2175" s="75">
        <v>7248</v>
      </c>
      <c r="D2175" s="67" t="s">
        <v>1784</v>
      </c>
    </row>
    <row r="2176" spans="1:4" ht="15.75" x14ac:dyDescent="0.25">
      <c r="A2176" s="94" t="s">
        <v>2101</v>
      </c>
      <c r="B2176" s="67">
        <v>3315</v>
      </c>
      <c r="C2176" s="75">
        <v>7098</v>
      </c>
      <c r="D2176" s="67" t="s">
        <v>1784</v>
      </c>
    </row>
    <row r="2177" spans="1:4" ht="15.75" x14ac:dyDescent="0.25">
      <c r="A2177" s="94" t="s">
        <v>2102</v>
      </c>
      <c r="B2177" s="67">
        <v>3250</v>
      </c>
      <c r="C2177" s="75">
        <v>2950</v>
      </c>
      <c r="D2177" s="67" t="s">
        <v>1784</v>
      </c>
    </row>
    <row r="2178" spans="1:4" ht="15.75" x14ac:dyDescent="0.25">
      <c r="A2178" s="94" t="s">
        <v>2103</v>
      </c>
      <c r="B2178" s="67">
        <v>3126</v>
      </c>
      <c r="C2178" s="75">
        <v>6726</v>
      </c>
      <c r="D2178" s="67" t="s">
        <v>1784</v>
      </c>
    </row>
    <row r="2179" spans="1:4" ht="15.75" x14ac:dyDescent="0.25">
      <c r="A2179" s="94" t="s">
        <v>2104</v>
      </c>
      <c r="B2179" s="67">
        <v>5421</v>
      </c>
      <c r="C2179" s="75">
        <v>9588</v>
      </c>
      <c r="D2179" s="67" t="s">
        <v>1784</v>
      </c>
    </row>
    <row r="2180" spans="1:4" ht="15.75" x14ac:dyDescent="0.25">
      <c r="A2180" s="94" t="s">
        <v>2105</v>
      </c>
      <c r="B2180" s="67">
        <v>2980</v>
      </c>
      <c r="C2180" s="75">
        <v>1440</v>
      </c>
      <c r="D2180" s="67" t="s">
        <v>1784</v>
      </c>
    </row>
    <row r="2181" spans="1:4" ht="15.75" x14ac:dyDescent="0.25">
      <c r="A2181" s="94" t="s">
        <v>2106</v>
      </c>
      <c r="B2181" s="67">
        <v>2990</v>
      </c>
      <c r="C2181" s="75">
        <v>1603</v>
      </c>
      <c r="D2181" s="67" t="s">
        <v>1784</v>
      </c>
    </row>
    <row r="2182" spans="1:4" ht="15.75" x14ac:dyDescent="0.25">
      <c r="A2182" s="94" t="s">
        <v>2107</v>
      </c>
      <c r="B2182" s="67">
        <v>2988</v>
      </c>
      <c r="C2182" s="75">
        <v>2728</v>
      </c>
      <c r="D2182" s="67" t="s">
        <v>1784</v>
      </c>
    </row>
    <row r="2183" spans="1:4" ht="15.75" x14ac:dyDescent="0.25">
      <c r="A2183" s="94" t="s">
        <v>2108</v>
      </c>
      <c r="B2183" s="67">
        <v>3361</v>
      </c>
      <c r="C2183" s="75">
        <v>3457</v>
      </c>
      <c r="D2183" s="67" t="s">
        <v>1784</v>
      </c>
    </row>
    <row r="2184" spans="1:4" ht="15.75" x14ac:dyDescent="0.25">
      <c r="A2184" s="94" t="s">
        <v>2109</v>
      </c>
      <c r="B2184" s="67">
        <v>3121</v>
      </c>
      <c r="C2184" s="75">
        <v>3243</v>
      </c>
      <c r="D2184" s="67" t="s">
        <v>1784</v>
      </c>
    </row>
    <row r="2185" spans="1:4" ht="15.75" x14ac:dyDescent="0.25">
      <c r="A2185" s="94" t="s">
        <v>2110</v>
      </c>
      <c r="B2185" s="67">
        <v>3110</v>
      </c>
      <c r="C2185" s="75">
        <v>3134</v>
      </c>
      <c r="D2185" s="67" t="s">
        <v>1784</v>
      </c>
    </row>
    <row r="2186" spans="1:4" ht="15.75" x14ac:dyDescent="0.25">
      <c r="A2186" s="94" t="s">
        <v>2111</v>
      </c>
      <c r="B2186" s="67">
        <v>3362</v>
      </c>
      <c r="C2186" s="75">
        <v>9738</v>
      </c>
      <c r="D2186" s="67" t="s">
        <v>1784</v>
      </c>
    </row>
    <row r="2187" spans="1:4" ht="15.75" x14ac:dyDescent="0.25">
      <c r="A2187" s="94" t="s">
        <v>2253</v>
      </c>
      <c r="B2187" s="67">
        <v>1099</v>
      </c>
      <c r="C2187" s="75">
        <v>3366</v>
      </c>
      <c r="D2187" s="67" t="s">
        <v>1784</v>
      </c>
    </row>
    <row r="2188" spans="1:4" ht="15.75" x14ac:dyDescent="0.25">
      <c r="A2188" s="94" t="s">
        <v>2254</v>
      </c>
      <c r="B2188" s="67">
        <v>2643</v>
      </c>
      <c r="C2188" s="75">
        <v>2397</v>
      </c>
      <c r="D2188" s="67" t="s">
        <v>1784</v>
      </c>
    </row>
    <row r="2189" spans="1:4" ht="15.75" x14ac:dyDescent="0.25">
      <c r="A2189" s="94" t="s">
        <v>2255</v>
      </c>
      <c r="B2189" s="67">
        <v>2616</v>
      </c>
      <c r="C2189" s="75">
        <v>1718</v>
      </c>
      <c r="D2189" s="67" t="s">
        <v>1784</v>
      </c>
    </row>
    <row r="2190" spans="1:4" ht="15.75" x14ac:dyDescent="0.25">
      <c r="A2190" s="94" t="s">
        <v>2256</v>
      </c>
      <c r="B2190" s="67">
        <v>5410</v>
      </c>
      <c r="C2190" s="75">
        <v>2939</v>
      </c>
      <c r="D2190" s="67" t="s">
        <v>1784</v>
      </c>
    </row>
    <row r="2191" spans="1:4" ht="15.75" x14ac:dyDescent="0.25">
      <c r="A2191" s="94" t="s">
        <v>2257</v>
      </c>
      <c r="B2191" s="67">
        <v>2723</v>
      </c>
      <c r="C2191" s="75">
        <v>3689</v>
      </c>
      <c r="D2191" s="67" t="s">
        <v>1784</v>
      </c>
    </row>
    <row r="2192" spans="1:4" ht="15.75" x14ac:dyDescent="0.25">
      <c r="A2192" s="94" t="s">
        <v>2258</v>
      </c>
      <c r="B2192" s="67">
        <v>5007</v>
      </c>
      <c r="C2192" s="75">
        <v>3950</v>
      </c>
      <c r="D2192" s="67" t="s">
        <v>1784</v>
      </c>
    </row>
    <row r="2193" spans="1:4" ht="15.75" x14ac:dyDescent="0.25">
      <c r="A2193" s="94" t="s">
        <v>2477</v>
      </c>
      <c r="B2193" s="67">
        <v>4988</v>
      </c>
      <c r="C2193" s="75">
        <v>2725</v>
      </c>
      <c r="D2193" s="67" t="s">
        <v>1784</v>
      </c>
    </row>
    <row r="2194" spans="1:4" ht="15.75" x14ac:dyDescent="0.25">
      <c r="A2194" s="94" t="s">
        <v>2259</v>
      </c>
      <c r="B2194" s="67">
        <v>3837</v>
      </c>
      <c r="C2194" s="75">
        <v>5022</v>
      </c>
      <c r="D2194" s="67" t="s">
        <v>1784</v>
      </c>
    </row>
    <row r="2195" spans="1:4" ht="15.75" x14ac:dyDescent="0.25">
      <c r="A2195" s="94" t="s">
        <v>2260</v>
      </c>
      <c r="B2195" s="67">
        <v>4982</v>
      </c>
      <c r="C2195" s="75">
        <v>4956</v>
      </c>
      <c r="D2195" s="67" t="s">
        <v>1784</v>
      </c>
    </row>
    <row r="2196" spans="1:4" ht="15.75" x14ac:dyDescent="0.25">
      <c r="A2196" s="94" t="s">
        <v>2261</v>
      </c>
      <c r="B2196" s="67">
        <v>2578</v>
      </c>
      <c r="C2196" s="75">
        <v>8708</v>
      </c>
      <c r="D2196" s="67" t="s">
        <v>1784</v>
      </c>
    </row>
    <row r="2197" spans="1:4" ht="15.75" x14ac:dyDescent="0.25">
      <c r="A2197" s="94" t="s">
        <v>2262</v>
      </c>
      <c r="B2197" s="67">
        <v>1180</v>
      </c>
      <c r="C2197" s="75">
        <v>1642</v>
      </c>
      <c r="D2197" s="67" t="s">
        <v>1784</v>
      </c>
    </row>
    <row r="2198" spans="1:4" ht="15.75" x14ac:dyDescent="0.25">
      <c r="A2198" s="94" t="s">
        <v>2478</v>
      </c>
      <c r="B2198" s="67">
        <v>4936</v>
      </c>
      <c r="C2198" s="75">
        <v>13628</v>
      </c>
      <c r="D2198" s="67" t="s">
        <v>1784</v>
      </c>
    </row>
    <row r="2199" spans="1:4" ht="15.75" x14ac:dyDescent="0.25">
      <c r="A2199" s="94" t="s">
        <v>2263</v>
      </c>
      <c r="B2199" s="67">
        <v>2356</v>
      </c>
      <c r="C2199" s="75">
        <v>2979</v>
      </c>
      <c r="D2199" s="67" t="s">
        <v>1784</v>
      </c>
    </row>
    <row r="2200" spans="1:4" ht="15.75" x14ac:dyDescent="0.25">
      <c r="A2200" s="94" t="s">
        <v>2264</v>
      </c>
      <c r="B2200" s="67">
        <v>3806</v>
      </c>
      <c r="C2200" s="75">
        <v>813</v>
      </c>
      <c r="D2200" s="67" t="s">
        <v>1784</v>
      </c>
    </row>
    <row r="2201" spans="1:4" ht="15.75" x14ac:dyDescent="0.25">
      <c r="A2201" s="94" t="s">
        <v>2265</v>
      </c>
      <c r="B2201" s="67">
        <v>3769</v>
      </c>
      <c r="C2201" s="75">
        <v>1150</v>
      </c>
      <c r="D2201" s="67" t="s">
        <v>1784</v>
      </c>
    </row>
    <row r="2202" spans="1:4" ht="15.75" x14ac:dyDescent="0.25">
      <c r="A2202" s="94" t="s">
        <v>2266</v>
      </c>
      <c r="B2202" s="67">
        <v>1361</v>
      </c>
      <c r="C2202" s="75">
        <v>2345</v>
      </c>
      <c r="D2202" s="67" t="s">
        <v>1784</v>
      </c>
    </row>
    <row r="2203" spans="1:4" ht="15.75" x14ac:dyDescent="0.25">
      <c r="A2203" s="94" t="s">
        <v>2267</v>
      </c>
      <c r="B2203" s="67">
        <v>1174</v>
      </c>
      <c r="C2203" s="75">
        <v>1199</v>
      </c>
      <c r="D2203" s="67" t="s">
        <v>1784</v>
      </c>
    </row>
    <row r="2204" spans="1:4" ht="15.75" x14ac:dyDescent="0.25">
      <c r="A2204" s="94" t="s">
        <v>2268</v>
      </c>
      <c r="B2204" s="67">
        <v>2003</v>
      </c>
      <c r="C2204" s="75">
        <v>3081</v>
      </c>
      <c r="D2204" s="67" t="s">
        <v>1784</v>
      </c>
    </row>
    <row r="2205" spans="1:4" ht="15.75" x14ac:dyDescent="0.25">
      <c r="A2205" s="94" t="s">
        <v>2269</v>
      </c>
      <c r="B2205" s="67">
        <v>2362</v>
      </c>
      <c r="C2205" s="75">
        <v>2305</v>
      </c>
      <c r="D2205" s="67" t="s">
        <v>1784</v>
      </c>
    </row>
    <row r="2206" spans="1:4" ht="15.75" x14ac:dyDescent="0.25">
      <c r="A2206" s="94" t="s">
        <v>2270</v>
      </c>
      <c r="B2206" s="67">
        <v>3595</v>
      </c>
      <c r="C2206" s="75">
        <v>3394</v>
      </c>
      <c r="D2206" s="67" t="s">
        <v>1784</v>
      </c>
    </row>
    <row r="2207" spans="1:4" ht="15.75" x14ac:dyDescent="0.25">
      <c r="A2207" s="94" t="s">
        <v>2271</v>
      </c>
      <c r="B2207" s="67">
        <v>3185</v>
      </c>
      <c r="C2207" s="75">
        <v>7088</v>
      </c>
      <c r="D2207" s="67" t="s">
        <v>1784</v>
      </c>
    </row>
    <row r="2208" spans="1:4" ht="15.75" x14ac:dyDescent="0.25">
      <c r="A2208" s="94" t="s">
        <v>2272</v>
      </c>
      <c r="B2208" s="67">
        <v>3596</v>
      </c>
      <c r="C2208" s="75">
        <v>2397</v>
      </c>
      <c r="D2208" s="67" t="s">
        <v>1784</v>
      </c>
    </row>
    <row r="2209" spans="1:4" ht="15.75" x14ac:dyDescent="0.25">
      <c r="A2209" s="94" t="s">
        <v>1938</v>
      </c>
      <c r="B2209" s="67">
        <v>4365</v>
      </c>
      <c r="C2209" s="75">
        <v>5560</v>
      </c>
      <c r="D2209" s="67" t="s">
        <v>1784</v>
      </c>
    </row>
    <row r="2210" spans="1:4" ht="15.75" x14ac:dyDescent="0.25">
      <c r="A2210" s="94" t="s">
        <v>1939</v>
      </c>
      <c r="B2210" s="67">
        <v>4324</v>
      </c>
      <c r="C2210" s="75">
        <v>2560</v>
      </c>
      <c r="D2210" s="67" t="s">
        <v>1784</v>
      </c>
    </row>
    <row r="2211" spans="1:4" ht="15.75" x14ac:dyDescent="0.25">
      <c r="A2211" s="94" t="s">
        <v>1940</v>
      </c>
      <c r="B2211" s="67">
        <v>4300</v>
      </c>
      <c r="C2211" s="75">
        <v>1615</v>
      </c>
      <c r="D2211" s="67" t="s">
        <v>1784</v>
      </c>
    </row>
    <row r="2212" spans="1:4" ht="15.75" x14ac:dyDescent="0.25">
      <c r="A2212" s="94" t="s">
        <v>1941</v>
      </c>
      <c r="B2212" s="67">
        <v>4395</v>
      </c>
      <c r="C2212" s="75">
        <v>1979</v>
      </c>
      <c r="D2212" s="67" t="s">
        <v>1784</v>
      </c>
    </row>
    <row r="2213" spans="1:4" ht="15.75" x14ac:dyDescent="0.25">
      <c r="A2213" s="94" t="s">
        <v>1942</v>
      </c>
      <c r="B2213" s="67">
        <v>4401</v>
      </c>
      <c r="C2213" s="75">
        <v>2393</v>
      </c>
      <c r="D2213" s="67" t="s">
        <v>1784</v>
      </c>
    </row>
    <row r="2214" spans="1:4" ht="15.75" x14ac:dyDescent="0.25">
      <c r="A2214" s="94" t="s">
        <v>2361</v>
      </c>
      <c r="B2214" s="67">
        <v>4593</v>
      </c>
      <c r="C2214" s="75">
        <v>13753</v>
      </c>
      <c r="D2214" s="67" t="s">
        <v>1784</v>
      </c>
    </row>
    <row r="2215" spans="1:4" ht="15.75" x14ac:dyDescent="0.25">
      <c r="A2215" s="94" t="s">
        <v>2362</v>
      </c>
      <c r="B2215" s="67">
        <v>4313</v>
      </c>
      <c r="C2215" s="75">
        <v>19464</v>
      </c>
      <c r="D2215" s="67" t="s">
        <v>1784</v>
      </c>
    </row>
    <row r="2216" spans="1:4" ht="15.75" x14ac:dyDescent="0.25">
      <c r="A2216" s="94" t="s">
        <v>1943</v>
      </c>
      <c r="B2216" s="67">
        <v>4437</v>
      </c>
      <c r="C2216" s="75">
        <v>23112</v>
      </c>
      <c r="D2216" s="67" t="s">
        <v>1784</v>
      </c>
    </row>
    <row r="2217" spans="1:4" ht="15.75" x14ac:dyDescent="0.25">
      <c r="A2217" s="94" t="s">
        <v>1944</v>
      </c>
      <c r="B2217" s="67">
        <v>4118</v>
      </c>
      <c r="C2217" s="75">
        <v>3427</v>
      </c>
      <c r="D2217" s="67" t="s">
        <v>1784</v>
      </c>
    </row>
    <row r="2218" spans="1:4" ht="15.75" x14ac:dyDescent="0.25">
      <c r="A2218" s="94" t="s">
        <v>2492</v>
      </c>
      <c r="B2218" s="67">
        <v>4312</v>
      </c>
      <c r="C2218" s="75">
        <v>4479</v>
      </c>
      <c r="D2218" s="67" t="s">
        <v>1784</v>
      </c>
    </row>
    <row r="2219" spans="1:4" ht="15.75" x14ac:dyDescent="0.25">
      <c r="A2219" s="94" t="s">
        <v>1945</v>
      </c>
      <c r="B2219" s="67">
        <v>4781</v>
      </c>
      <c r="C2219" s="75">
        <v>1923</v>
      </c>
      <c r="D2219" s="67" t="s">
        <v>1784</v>
      </c>
    </row>
    <row r="2220" spans="1:4" ht="15.75" x14ac:dyDescent="0.25">
      <c r="A2220" s="94" t="s">
        <v>2493</v>
      </c>
      <c r="B2220" s="67">
        <v>4535</v>
      </c>
      <c r="C2220" s="75">
        <v>30412</v>
      </c>
      <c r="D2220" s="67" t="s">
        <v>1784</v>
      </c>
    </row>
    <row r="2221" spans="1:4" ht="15.75" x14ac:dyDescent="0.25">
      <c r="A2221" s="94" t="s">
        <v>2494</v>
      </c>
      <c r="B2221" s="67">
        <v>4758</v>
      </c>
      <c r="C2221" s="75">
        <v>5901</v>
      </c>
      <c r="D2221" s="67" t="s">
        <v>1784</v>
      </c>
    </row>
    <row r="2222" spans="1:4" ht="15.75" x14ac:dyDescent="0.25">
      <c r="A2222" s="94" t="s">
        <v>2363</v>
      </c>
      <c r="B2222" s="67">
        <v>4195</v>
      </c>
      <c r="C2222" s="75">
        <v>4827</v>
      </c>
      <c r="D2222" s="67" t="s">
        <v>1784</v>
      </c>
    </row>
    <row r="2223" spans="1:4" ht="15.75" x14ac:dyDescent="0.25">
      <c r="A2223" s="94" t="s">
        <v>1946</v>
      </c>
      <c r="B2223" s="67">
        <v>4117</v>
      </c>
      <c r="C2223" s="75">
        <v>2576</v>
      </c>
      <c r="D2223" s="67" t="s">
        <v>1784</v>
      </c>
    </row>
    <row r="2224" spans="1:4" ht="15.75" x14ac:dyDescent="0.25">
      <c r="A2224" s="94" t="s">
        <v>2364</v>
      </c>
      <c r="B2224" s="67">
        <v>4384</v>
      </c>
      <c r="C2224" s="75">
        <v>3689</v>
      </c>
      <c r="D2224" s="67" t="s">
        <v>1784</v>
      </c>
    </row>
    <row r="2225" spans="1:4" ht="15.75" x14ac:dyDescent="0.25">
      <c r="A2225" s="94" t="s">
        <v>1947</v>
      </c>
      <c r="B2225" s="67">
        <v>4119</v>
      </c>
      <c r="C2225" s="75">
        <v>3751</v>
      </c>
      <c r="D2225" s="67" t="s">
        <v>1784</v>
      </c>
    </row>
    <row r="2226" spans="1:4" x14ac:dyDescent="0.25">
      <c r="A2226" s="92" t="s">
        <v>3230</v>
      </c>
      <c r="B2226" s="67" t="s">
        <v>1682</v>
      </c>
      <c r="C2226" s="74">
        <f>188.65*0.8*0.95</f>
        <v>143.374</v>
      </c>
      <c r="D2226" s="67" t="s">
        <v>1784</v>
      </c>
    </row>
    <row r="2227" spans="1:4" x14ac:dyDescent="0.25">
      <c r="A2227" s="92" t="s">
        <v>3232</v>
      </c>
      <c r="B2227" s="67" t="s">
        <v>1683</v>
      </c>
      <c r="C2227" s="74">
        <f>247.8*0.8*0.95</f>
        <v>188.328</v>
      </c>
      <c r="D2227" s="67" t="s">
        <v>1784</v>
      </c>
    </row>
    <row r="2228" spans="1:4" x14ac:dyDescent="0.25">
      <c r="A2228" s="92" t="s">
        <v>3229</v>
      </c>
      <c r="B2228" s="67" t="s">
        <v>1684</v>
      </c>
      <c r="C2228" s="74">
        <f>217.7*0.8*0.95</f>
        <v>165.452</v>
      </c>
      <c r="D2228" s="67" t="s">
        <v>1784</v>
      </c>
    </row>
    <row r="2229" spans="1:4" x14ac:dyDescent="0.25">
      <c r="A2229" s="92" t="s">
        <v>3231</v>
      </c>
      <c r="B2229" s="67" t="s">
        <v>1685</v>
      </c>
      <c r="C2229" s="74">
        <f>309.4*0.8*0.95</f>
        <v>235.14399999999998</v>
      </c>
      <c r="D2229" s="67" t="s">
        <v>1784</v>
      </c>
    </row>
    <row r="2230" spans="1:4" ht="15.75" x14ac:dyDescent="0.25">
      <c r="A2230" s="94" t="s">
        <v>2022</v>
      </c>
      <c r="B2230" s="67">
        <v>3107</v>
      </c>
      <c r="C2230" s="75">
        <v>9315</v>
      </c>
      <c r="D2230" s="67" t="s">
        <v>1784</v>
      </c>
    </row>
    <row r="2231" spans="1:4" ht="15.75" x14ac:dyDescent="0.25">
      <c r="A2231" s="94" t="s">
        <v>2023</v>
      </c>
      <c r="B2231" s="67">
        <v>2684</v>
      </c>
      <c r="C2231" s="75">
        <v>5601</v>
      </c>
      <c r="D2231" s="67" t="s">
        <v>1784</v>
      </c>
    </row>
    <row r="2232" spans="1:4" ht="15.75" x14ac:dyDescent="0.25">
      <c r="A2232" s="94" t="s">
        <v>2024</v>
      </c>
      <c r="B2232" s="67">
        <v>2686</v>
      </c>
      <c r="C2232" s="75">
        <v>1364</v>
      </c>
      <c r="D2232" s="67" t="s">
        <v>1784</v>
      </c>
    </row>
    <row r="2233" spans="1:4" ht="15.75" x14ac:dyDescent="0.25">
      <c r="A2233" s="94" t="s">
        <v>2112</v>
      </c>
      <c r="B2233" s="67">
        <v>2987</v>
      </c>
      <c r="C2233" s="75">
        <v>3192</v>
      </c>
      <c r="D2233" s="67" t="s">
        <v>1784</v>
      </c>
    </row>
    <row r="2234" spans="1:4" ht="15.75" x14ac:dyDescent="0.25">
      <c r="A2234" s="94" t="s">
        <v>2113</v>
      </c>
      <c r="B2234" s="67">
        <v>3632</v>
      </c>
      <c r="C2234" s="75">
        <v>4202</v>
      </c>
      <c r="D2234" s="67" t="s">
        <v>1784</v>
      </c>
    </row>
    <row r="2235" spans="1:4" ht="15.75" x14ac:dyDescent="0.25">
      <c r="A2235" s="94" t="s">
        <v>2114</v>
      </c>
      <c r="B2235" s="67">
        <v>5438</v>
      </c>
      <c r="C2235" s="75">
        <v>4621</v>
      </c>
      <c r="D2235" s="67" t="s">
        <v>1784</v>
      </c>
    </row>
    <row r="2236" spans="1:4" ht="15.75" x14ac:dyDescent="0.25">
      <c r="A2236" s="94" t="s">
        <v>2440</v>
      </c>
      <c r="B2236" s="67">
        <v>3117</v>
      </c>
      <c r="C2236" s="75">
        <v>8182</v>
      </c>
      <c r="D2236" s="67" t="s">
        <v>1784</v>
      </c>
    </row>
    <row r="2237" spans="1:4" ht="15.75" x14ac:dyDescent="0.25">
      <c r="A2237" s="94" t="s">
        <v>2115</v>
      </c>
      <c r="B2237" s="67">
        <v>3118</v>
      </c>
      <c r="C2237" s="75">
        <v>2554</v>
      </c>
      <c r="D2237" s="67" t="s">
        <v>1784</v>
      </c>
    </row>
    <row r="2238" spans="1:4" ht="15.75" x14ac:dyDescent="0.25">
      <c r="A2238" s="94" t="s">
        <v>2273</v>
      </c>
      <c r="B2238" s="67">
        <v>903</v>
      </c>
      <c r="C2238" s="75">
        <v>2611</v>
      </c>
      <c r="D2238" s="67" t="s">
        <v>1784</v>
      </c>
    </row>
    <row r="2239" spans="1:4" ht="15.75" x14ac:dyDescent="0.25">
      <c r="A2239" s="94" t="s">
        <v>2274</v>
      </c>
      <c r="B2239" s="67">
        <v>3363</v>
      </c>
      <c r="C2239" s="75">
        <v>4103</v>
      </c>
      <c r="D2239" s="67" t="s">
        <v>1784</v>
      </c>
    </row>
    <row r="2240" spans="1:4" ht="15.75" x14ac:dyDescent="0.25">
      <c r="A2240" s="94" t="s">
        <v>2275</v>
      </c>
      <c r="B2240" s="67">
        <v>3378</v>
      </c>
      <c r="C2240" s="75">
        <v>4040</v>
      </c>
      <c r="D2240" s="67" t="s">
        <v>1784</v>
      </c>
    </row>
    <row r="2241" spans="1:4" ht="15.75" x14ac:dyDescent="0.25">
      <c r="A2241" s="94" t="s">
        <v>2276</v>
      </c>
      <c r="B2241" s="67">
        <v>3951</v>
      </c>
      <c r="C2241" s="75">
        <v>1372</v>
      </c>
      <c r="D2241" s="67" t="s">
        <v>1784</v>
      </c>
    </row>
    <row r="2242" spans="1:4" ht="15.75" x14ac:dyDescent="0.25">
      <c r="A2242" s="94" t="s">
        <v>2277</v>
      </c>
      <c r="B2242" s="67">
        <v>1040</v>
      </c>
      <c r="C2242" s="75">
        <v>6282</v>
      </c>
      <c r="D2242" s="67" t="s">
        <v>1784</v>
      </c>
    </row>
    <row r="2243" spans="1:4" ht="15.75" x14ac:dyDescent="0.25">
      <c r="A2243" s="94" t="s">
        <v>2278</v>
      </c>
      <c r="B2243" s="67">
        <v>3825</v>
      </c>
      <c r="C2243" s="75">
        <v>3210</v>
      </c>
      <c r="D2243" s="67" t="s">
        <v>1784</v>
      </c>
    </row>
    <row r="2244" spans="1:4" ht="15.75" x14ac:dyDescent="0.25">
      <c r="A2244" s="94" t="s">
        <v>2279</v>
      </c>
      <c r="B2244" s="67">
        <v>1644</v>
      </c>
      <c r="C2244" s="75">
        <v>1325</v>
      </c>
      <c r="D2244" s="67" t="s">
        <v>1784</v>
      </c>
    </row>
    <row r="2245" spans="1:4" ht="15.75" x14ac:dyDescent="0.25">
      <c r="A2245" s="94" t="s">
        <v>2280</v>
      </c>
      <c r="B2245" s="67">
        <v>1371</v>
      </c>
      <c r="C2245" s="75">
        <v>2299</v>
      </c>
      <c r="D2245" s="67" t="s">
        <v>1784</v>
      </c>
    </row>
    <row r="2246" spans="1:4" ht="15.75" x14ac:dyDescent="0.25">
      <c r="A2246" s="94" t="s">
        <v>2281</v>
      </c>
      <c r="B2246" s="67">
        <v>891</v>
      </c>
      <c r="C2246" s="75">
        <v>5008</v>
      </c>
      <c r="D2246" s="67" t="s">
        <v>1784</v>
      </c>
    </row>
    <row r="2247" spans="1:4" ht="15.75" x14ac:dyDescent="0.25">
      <c r="A2247" s="94" t="s">
        <v>2282</v>
      </c>
      <c r="B2247" s="67">
        <v>1521</v>
      </c>
      <c r="C2247" s="75">
        <v>2818</v>
      </c>
      <c r="D2247" s="67" t="s">
        <v>1784</v>
      </c>
    </row>
    <row r="2248" spans="1:4" ht="15.75" x14ac:dyDescent="0.25">
      <c r="A2248" s="94" t="s">
        <v>2283</v>
      </c>
      <c r="B2248" s="67">
        <v>3782</v>
      </c>
      <c r="C2248" s="75">
        <v>1844</v>
      </c>
      <c r="D2248" s="67" t="s">
        <v>1784</v>
      </c>
    </row>
    <row r="2249" spans="1:4" ht="15.75" x14ac:dyDescent="0.25">
      <c r="A2249" s="94" t="s">
        <v>2284</v>
      </c>
      <c r="B2249" s="67">
        <v>1086</v>
      </c>
      <c r="C2249" s="75">
        <v>4656</v>
      </c>
      <c r="D2249" s="67" t="s">
        <v>1784</v>
      </c>
    </row>
    <row r="2250" spans="1:4" ht="15.75" x14ac:dyDescent="0.25">
      <c r="A2250" s="94" t="s">
        <v>2365</v>
      </c>
      <c r="B2250" s="67">
        <v>4212</v>
      </c>
      <c r="C2250" s="75">
        <v>3457</v>
      </c>
      <c r="D2250" s="67" t="s">
        <v>1784</v>
      </c>
    </row>
    <row r="2251" spans="1:4" ht="15.75" x14ac:dyDescent="0.25">
      <c r="A2251" s="94" t="s">
        <v>2366</v>
      </c>
      <c r="B2251" s="67">
        <v>4213</v>
      </c>
      <c r="C2251" s="75">
        <v>4512</v>
      </c>
      <c r="D2251" s="67" t="s">
        <v>1784</v>
      </c>
    </row>
    <row r="2252" spans="1:4" ht="15.75" x14ac:dyDescent="0.25">
      <c r="A2252" s="94" t="s">
        <v>2367</v>
      </c>
      <c r="B2252" s="67">
        <v>4214</v>
      </c>
      <c r="C2252" s="75">
        <v>7070</v>
      </c>
      <c r="D2252" s="67" t="s">
        <v>1784</v>
      </c>
    </row>
    <row r="2253" spans="1:4" ht="15.75" x14ac:dyDescent="0.25">
      <c r="A2253" s="94" t="s">
        <v>2368</v>
      </c>
      <c r="B2253" s="67">
        <v>5242</v>
      </c>
      <c r="C2253" s="75">
        <v>7890</v>
      </c>
      <c r="D2253" s="67" t="s">
        <v>1784</v>
      </c>
    </row>
    <row r="2254" spans="1:4" ht="15.75" x14ac:dyDescent="0.25">
      <c r="A2254" s="94" t="s">
        <v>2369</v>
      </c>
      <c r="B2254" s="67">
        <v>4268</v>
      </c>
      <c r="C2254" s="75">
        <v>4443</v>
      </c>
      <c r="D2254" s="67" t="s">
        <v>1784</v>
      </c>
    </row>
    <row r="2255" spans="1:4" ht="15.75" x14ac:dyDescent="0.25">
      <c r="A2255" s="94" t="s">
        <v>2025</v>
      </c>
      <c r="B2255" s="67">
        <v>2499</v>
      </c>
      <c r="C2255" s="75">
        <v>2997</v>
      </c>
      <c r="D2255" s="67" t="s">
        <v>1784</v>
      </c>
    </row>
    <row r="2256" spans="1:4" ht="15.75" x14ac:dyDescent="0.25">
      <c r="A2256" s="94" t="s">
        <v>2026</v>
      </c>
      <c r="B2256" s="67">
        <v>2494</v>
      </c>
      <c r="C2256" s="75">
        <v>5232</v>
      </c>
      <c r="D2256" s="67" t="s">
        <v>1784</v>
      </c>
    </row>
    <row r="2257" spans="1:4" ht="15.75" x14ac:dyDescent="0.25">
      <c r="A2257" s="94" t="s">
        <v>2116</v>
      </c>
      <c r="B2257" s="67">
        <v>2997</v>
      </c>
      <c r="C2257" s="75">
        <v>3286</v>
      </c>
      <c r="D2257" s="67" t="s">
        <v>1784</v>
      </c>
    </row>
    <row r="2258" spans="1:4" ht="15.75" x14ac:dyDescent="0.25">
      <c r="A2258" s="94" t="s">
        <v>2117</v>
      </c>
      <c r="B2258" s="67">
        <v>3201</v>
      </c>
      <c r="C2258" s="75">
        <v>2610</v>
      </c>
      <c r="D2258" s="67" t="s">
        <v>1784</v>
      </c>
    </row>
    <row r="2259" spans="1:4" ht="15.75" x14ac:dyDescent="0.25">
      <c r="A2259" s="94" t="s">
        <v>2285</v>
      </c>
      <c r="B2259" s="67">
        <v>3764</v>
      </c>
      <c r="C2259" s="75">
        <v>1833</v>
      </c>
      <c r="D2259" s="67" t="s">
        <v>1784</v>
      </c>
    </row>
    <row r="2260" spans="1:4" ht="15.75" x14ac:dyDescent="0.25">
      <c r="A2260" s="94" t="s">
        <v>2286</v>
      </c>
      <c r="B2260" s="67">
        <v>3136</v>
      </c>
      <c r="C2260" s="75">
        <v>2977</v>
      </c>
      <c r="D2260" s="67" t="s">
        <v>1784</v>
      </c>
    </row>
    <row r="2261" spans="1:4" ht="15.75" x14ac:dyDescent="0.25">
      <c r="A2261" s="94" t="s">
        <v>2287</v>
      </c>
      <c r="B2261" s="67">
        <v>1908</v>
      </c>
      <c r="C2261" s="75">
        <v>2432</v>
      </c>
      <c r="D2261" s="67" t="s">
        <v>1784</v>
      </c>
    </row>
    <row r="2262" spans="1:4" ht="15.75" x14ac:dyDescent="0.25">
      <c r="A2262" s="94" t="s">
        <v>2288</v>
      </c>
      <c r="B2262" s="67">
        <v>1852</v>
      </c>
      <c r="C2262" s="75">
        <v>4805</v>
      </c>
      <c r="D2262" s="67" t="s">
        <v>1784</v>
      </c>
    </row>
    <row r="2263" spans="1:4" ht="15.75" x14ac:dyDescent="0.25">
      <c r="A2263" s="94" t="s">
        <v>2289</v>
      </c>
      <c r="B2263" s="67">
        <v>1051</v>
      </c>
      <c r="C2263" s="75">
        <v>3930</v>
      </c>
      <c r="D2263" s="67" t="s">
        <v>1784</v>
      </c>
    </row>
    <row r="2264" spans="1:4" ht="15.75" x14ac:dyDescent="0.25">
      <c r="A2264" s="94" t="s">
        <v>2290</v>
      </c>
      <c r="B2264" s="67">
        <v>1058</v>
      </c>
      <c r="C2264" s="75">
        <v>3959</v>
      </c>
      <c r="D2264" s="67" t="s">
        <v>1784</v>
      </c>
    </row>
    <row r="2265" spans="1:4" ht="15.75" x14ac:dyDescent="0.25">
      <c r="A2265" s="94" t="s">
        <v>2291</v>
      </c>
      <c r="B2265" s="67">
        <v>1076</v>
      </c>
      <c r="C2265" s="75">
        <v>3158</v>
      </c>
      <c r="D2265" s="67" t="s">
        <v>1784</v>
      </c>
    </row>
    <row r="2266" spans="1:4" ht="15.75" x14ac:dyDescent="0.25">
      <c r="A2266" s="94" t="s">
        <v>2292</v>
      </c>
      <c r="B2266" s="67">
        <v>5403</v>
      </c>
      <c r="C2266" s="75">
        <v>3590</v>
      </c>
      <c r="D2266" s="67" t="s">
        <v>1784</v>
      </c>
    </row>
    <row r="2267" spans="1:4" ht="15.75" x14ac:dyDescent="0.25">
      <c r="A2267" s="94" t="s">
        <v>2293</v>
      </c>
      <c r="B2267" s="67">
        <v>1520</v>
      </c>
      <c r="C2267" s="75">
        <v>3821</v>
      </c>
      <c r="D2267" s="67" t="s">
        <v>1784</v>
      </c>
    </row>
    <row r="2268" spans="1:4" ht="15.75" x14ac:dyDescent="0.25">
      <c r="A2268" s="94" t="s">
        <v>2479</v>
      </c>
      <c r="B2268" s="67">
        <v>4512</v>
      </c>
      <c r="C2268" s="75">
        <v>4291</v>
      </c>
      <c r="D2268" s="67" t="s">
        <v>1784</v>
      </c>
    </row>
    <row r="2269" spans="1:4" ht="15.75" x14ac:dyDescent="0.25">
      <c r="A2269" s="94" t="s">
        <v>2294</v>
      </c>
      <c r="B2269" s="67">
        <v>1057</v>
      </c>
      <c r="C2269" s="75">
        <v>3951</v>
      </c>
      <c r="D2269" s="67" t="s">
        <v>1784</v>
      </c>
    </row>
    <row r="2270" spans="1:4" ht="15.75" x14ac:dyDescent="0.25">
      <c r="A2270" s="94" t="s">
        <v>1948</v>
      </c>
      <c r="B2270" s="67">
        <v>4396</v>
      </c>
      <c r="C2270" s="75">
        <v>3397</v>
      </c>
      <c r="D2270" s="67" t="s">
        <v>1784</v>
      </c>
    </row>
    <row r="2271" spans="1:4" ht="15.75" x14ac:dyDescent="0.25">
      <c r="A2271" s="94" t="s">
        <v>1949</v>
      </c>
      <c r="B2271" s="67">
        <v>5233</v>
      </c>
      <c r="C2271" s="75">
        <v>8750</v>
      </c>
      <c r="D2271" s="67" t="s">
        <v>1784</v>
      </c>
    </row>
    <row r="2272" spans="1:4" ht="15.75" x14ac:dyDescent="0.25">
      <c r="A2272" s="94" t="s">
        <v>2370</v>
      </c>
      <c r="B2272" s="67">
        <v>4595</v>
      </c>
      <c r="C2272" s="75">
        <v>12118</v>
      </c>
      <c r="D2272" s="67" t="s">
        <v>1784</v>
      </c>
    </row>
    <row r="2273" spans="1:4" ht="15.75" x14ac:dyDescent="0.25">
      <c r="A2273" s="94" t="s">
        <v>2027</v>
      </c>
      <c r="B2273" s="67">
        <v>2770</v>
      </c>
      <c r="C2273" s="75">
        <v>4560</v>
      </c>
      <c r="D2273" s="67" t="s">
        <v>1784</v>
      </c>
    </row>
    <row r="2274" spans="1:4" ht="15.75" x14ac:dyDescent="0.25">
      <c r="A2274" s="94" t="s">
        <v>2118</v>
      </c>
      <c r="B2274" s="67">
        <v>2994</v>
      </c>
      <c r="C2274" s="75">
        <v>8435</v>
      </c>
      <c r="D2274" s="67" t="s">
        <v>1784</v>
      </c>
    </row>
    <row r="2275" spans="1:4" ht="15.75" x14ac:dyDescent="0.25">
      <c r="A2275" s="94" t="s">
        <v>2119</v>
      </c>
      <c r="B2275" s="67">
        <v>3124</v>
      </c>
      <c r="C2275" s="75">
        <v>14665</v>
      </c>
      <c r="D2275" s="67" t="s">
        <v>1784</v>
      </c>
    </row>
    <row r="2276" spans="1:4" ht="15.75" x14ac:dyDescent="0.25">
      <c r="A2276" s="94" t="s">
        <v>2120</v>
      </c>
      <c r="B2276" s="67">
        <v>2662</v>
      </c>
      <c r="C2276" s="75">
        <v>5210</v>
      </c>
      <c r="D2276" s="67" t="s">
        <v>1784</v>
      </c>
    </row>
    <row r="2277" spans="1:4" ht="15.75" x14ac:dyDescent="0.25">
      <c r="A2277" s="94" t="s">
        <v>2121</v>
      </c>
      <c r="B2277" s="67">
        <v>2682</v>
      </c>
      <c r="C2277" s="75">
        <v>7010</v>
      </c>
      <c r="D2277" s="67" t="s">
        <v>1784</v>
      </c>
    </row>
    <row r="2278" spans="1:4" ht="15.75" x14ac:dyDescent="0.25">
      <c r="A2278" s="94" t="s">
        <v>2295</v>
      </c>
      <c r="B2278" s="67">
        <v>749</v>
      </c>
      <c r="C2278" s="75">
        <v>9222</v>
      </c>
      <c r="D2278" s="67" t="s">
        <v>1784</v>
      </c>
    </row>
    <row r="2279" spans="1:4" ht="15.75" x14ac:dyDescent="0.25">
      <c r="A2279" s="94" t="s">
        <v>2296</v>
      </c>
      <c r="B2279" s="67">
        <v>1019</v>
      </c>
      <c r="C2279" s="75">
        <v>6015</v>
      </c>
      <c r="D2279" s="67" t="s">
        <v>1784</v>
      </c>
    </row>
    <row r="2280" spans="1:4" ht="15.75" x14ac:dyDescent="0.25">
      <c r="A2280" s="94" t="s">
        <v>2297</v>
      </c>
      <c r="B2280" s="67">
        <v>999</v>
      </c>
      <c r="C2280" s="75">
        <v>10977</v>
      </c>
      <c r="D2280" s="67" t="s">
        <v>1784</v>
      </c>
    </row>
    <row r="2281" spans="1:4" ht="15.75" x14ac:dyDescent="0.25">
      <c r="A2281" s="94" t="s">
        <v>2298</v>
      </c>
      <c r="B2281" s="67">
        <v>2214</v>
      </c>
      <c r="C2281" s="75">
        <v>5476</v>
      </c>
      <c r="D2281" s="67" t="s">
        <v>1784</v>
      </c>
    </row>
    <row r="2282" spans="1:4" ht="15.75" x14ac:dyDescent="0.25">
      <c r="A2282" s="94" t="s">
        <v>2299</v>
      </c>
      <c r="B2282" s="67">
        <v>3752</v>
      </c>
      <c r="C2282" s="75">
        <v>5446</v>
      </c>
      <c r="D2282" s="67" t="s">
        <v>1784</v>
      </c>
    </row>
    <row r="2283" spans="1:4" ht="15.75" x14ac:dyDescent="0.25">
      <c r="A2283" s="94" t="s">
        <v>2371</v>
      </c>
      <c r="B2283" s="67">
        <v>4347</v>
      </c>
      <c r="C2283" s="75">
        <v>17147</v>
      </c>
      <c r="D2283" s="67" t="s">
        <v>1784</v>
      </c>
    </row>
    <row r="2284" spans="1:4" ht="15.75" x14ac:dyDescent="0.25">
      <c r="A2284" s="94" t="s">
        <v>2372</v>
      </c>
      <c r="B2284" s="67">
        <v>5240</v>
      </c>
      <c r="C2284" s="75">
        <v>14390</v>
      </c>
      <c r="D2284" s="67" t="s">
        <v>1784</v>
      </c>
    </row>
    <row r="2285" spans="1:4" ht="15.75" x14ac:dyDescent="0.25">
      <c r="A2285" s="94" t="s">
        <v>2399</v>
      </c>
      <c r="B2285" s="67">
        <v>2652</v>
      </c>
      <c r="C2285" s="75">
        <v>4081</v>
      </c>
      <c r="D2285" s="67" t="s">
        <v>1784</v>
      </c>
    </row>
    <row r="2286" spans="1:4" ht="15.75" x14ac:dyDescent="0.25">
      <c r="A2286" s="94" t="s">
        <v>2028</v>
      </c>
      <c r="B2286" s="67">
        <v>2887</v>
      </c>
      <c r="C2286" s="75">
        <v>102</v>
      </c>
      <c r="D2286" s="67" t="s">
        <v>1784</v>
      </c>
    </row>
    <row r="2287" spans="1:4" ht="15.75" x14ac:dyDescent="0.25">
      <c r="A2287" s="94" t="s">
        <v>2029</v>
      </c>
      <c r="B2287" s="67">
        <v>2964</v>
      </c>
      <c r="C2287" s="75">
        <v>65</v>
      </c>
      <c r="D2287" s="67" t="s">
        <v>1784</v>
      </c>
    </row>
    <row r="2288" spans="1:4" ht="15.75" x14ac:dyDescent="0.25">
      <c r="A2288" s="94" t="s">
        <v>2030</v>
      </c>
      <c r="B2288" s="67">
        <v>2865</v>
      </c>
      <c r="C2288" s="75">
        <v>199</v>
      </c>
      <c r="D2288" s="67" t="s">
        <v>1784</v>
      </c>
    </row>
    <row r="2289" spans="1:4" ht="15.75" x14ac:dyDescent="0.25">
      <c r="A2289" s="94" t="s">
        <v>2031</v>
      </c>
      <c r="B2289" s="67">
        <v>2885</v>
      </c>
      <c r="C2289" s="75">
        <v>105</v>
      </c>
      <c r="D2289" s="67" t="s">
        <v>1784</v>
      </c>
    </row>
    <row r="2290" spans="1:4" ht="15.75" x14ac:dyDescent="0.25">
      <c r="A2290" s="94" t="s">
        <v>2032</v>
      </c>
      <c r="B2290" s="67">
        <v>2906</v>
      </c>
      <c r="C2290" s="75">
        <v>69</v>
      </c>
      <c r="D2290" s="67" t="s">
        <v>1784</v>
      </c>
    </row>
    <row r="2291" spans="1:4" ht="15.75" x14ac:dyDescent="0.25">
      <c r="A2291" s="94" t="s">
        <v>2033</v>
      </c>
      <c r="B2291" s="67">
        <v>2870</v>
      </c>
      <c r="C2291" s="75">
        <v>215</v>
      </c>
      <c r="D2291" s="67" t="s">
        <v>1784</v>
      </c>
    </row>
    <row r="2292" spans="1:4" x14ac:dyDescent="0.25">
      <c r="A2292" s="91" t="s">
        <v>3302</v>
      </c>
      <c r="B2292" s="67" t="s">
        <v>1686</v>
      </c>
      <c r="C2292" s="74">
        <f>510.11*0.8*0.95</f>
        <v>387.68360000000001</v>
      </c>
      <c r="D2292" s="67" t="s">
        <v>1784</v>
      </c>
    </row>
    <row r="2293" spans="1:4" x14ac:dyDescent="0.25">
      <c r="A2293" s="92" t="s">
        <v>3217</v>
      </c>
      <c r="B2293" s="67" t="s">
        <v>1687</v>
      </c>
      <c r="C2293" s="74">
        <f>43.4*0.8*0.95</f>
        <v>32.983999999999995</v>
      </c>
      <c r="D2293" s="67" t="s">
        <v>1784</v>
      </c>
    </row>
    <row r="2294" spans="1:4" x14ac:dyDescent="0.25">
      <c r="A2294" s="92" t="s">
        <v>3218</v>
      </c>
      <c r="B2294" s="67" t="s">
        <v>1688</v>
      </c>
      <c r="C2294" s="74">
        <f>38.15*0.8*0.95</f>
        <v>28.994</v>
      </c>
      <c r="D2294" s="67" t="s">
        <v>1784</v>
      </c>
    </row>
    <row r="2295" spans="1:4" x14ac:dyDescent="0.25">
      <c r="A2295" s="92" t="s">
        <v>3145</v>
      </c>
      <c r="B2295" s="67" t="s">
        <v>1689</v>
      </c>
      <c r="C2295" s="74">
        <f>298.55*0.8*0.95</f>
        <v>226.89800000000002</v>
      </c>
      <c r="D2295" s="67" t="s">
        <v>1784</v>
      </c>
    </row>
    <row r="2296" spans="1:4" x14ac:dyDescent="0.25">
      <c r="A2296" s="92" t="s">
        <v>3143</v>
      </c>
      <c r="B2296" s="67" t="s">
        <v>1690</v>
      </c>
      <c r="C2296" s="74">
        <f>87.75*0.8*0.95</f>
        <v>66.69</v>
      </c>
      <c r="D2296" s="67" t="s">
        <v>1784</v>
      </c>
    </row>
    <row r="2297" spans="1:4" x14ac:dyDescent="0.25">
      <c r="A2297" s="91" t="s">
        <v>3144</v>
      </c>
      <c r="B2297" s="67" t="s">
        <v>1691</v>
      </c>
      <c r="C2297" s="74">
        <f>109.88*0.8*0.95</f>
        <v>83.508799999999994</v>
      </c>
      <c r="D2297" s="67" t="s">
        <v>1784</v>
      </c>
    </row>
    <row r="2298" spans="1:4" x14ac:dyDescent="0.25">
      <c r="A2298" s="91" t="s">
        <v>3142</v>
      </c>
      <c r="B2298" s="67" t="s">
        <v>1692</v>
      </c>
      <c r="C2298" s="74">
        <f>106.88*0.8*0.95</f>
        <v>81.228800000000007</v>
      </c>
      <c r="D2298" s="67" t="s">
        <v>1784</v>
      </c>
    </row>
    <row r="2299" spans="1:4" x14ac:dyDescent="0.25">
      <c r="A2299" s="91" t="s">
        <v>2864</v>
      </c>
      <c r="B2299" s="67" t="s">
        <v>1693</v>
      </c>
      <c r="C2299" s="74">
        <f>458.57*0.8*0.95</f>
        <v>348.51319999999998</v>
      </c>
      <c r="D2299" s="67" t="s">
        <v>1784</v>
      </c>
    </row>
    <row r="2300" spans="1:4" x14ac:dyDescent="0.25">
      <c r="A2300" s="91" t="s">
        <v>2863</v>
      </c>
      <c r="B2300" s="67" t="s">
        <v>1694</v>
      </c>
      <c r="C2300" s="74">
        <f>359.04*0.8*0.95</f>
        <v>272.87040000000002</v>
      </c>
      <c r="D2300" s="67" t="s">
        <v>1784</v>
      </c>
    </row>
    <row r="2301" spans="1:4" x14ac:dyDescent="0.25">
      <c r="A2301" s="92" t="s">
        <v>2988</v>
      </c>
      <c r="B2301" s="67" t="s">
        <v>1695</v>
      </c>
      <c r="C2301" s="74">
        <f>484.67*0.8*0.95</f>
        <v>368.34920000000005</v>
      </c>
      <c r="D2301" s="67" t="s">
        <v>1785</v>
      </c>
    </row>
    <row r="2302" spans="1:4" x14ac:dyDescent="0.25">
      <c r="A2302" s="91" t="s">
        <v>2985</v>
      </c>
      <c r="B2302" s="67" t="s">
        <v>1696</v>
      </c>
      <c r="C2302" s="74">
        <f>224.04*0.8*0.95</f>
        <v>170.2704</v>
      </c>
      <c r="D2302" s="67" t="s">
        <v>1785</v>
      </c>
    </row>
    <row r="2303" spans="1:4" x14ac:dyDescent="0.25">
      <c r="A2303" s="91" t="s">
        <v>2982</v>
      </c>
      <c r="B2303" s="67" t="s">
        <v>1697</v>
      </c>
      <c r="C2303" s="74">
        <f>140.37*0.8*0.95</f>
        <v>106.6812</v>
      </c>
      <c r="D2303" s="67" t="s">
        <v>1785</v>
      </c>
    </row>
    <row r="2304" spans="1:4" x14ac:dyDescent="0.25">
      <c r="A2304" s="91" t="s">
        <v>2984</v>
      </c>
      <c r="B2304" s="67" t="s">
        <v>1698</v>
      </c>
      <c r="C2304" s="74">
        <f>224.04*0.8*0.95</f>
        <v>170.2704</v>
      </c>
      <c r="D2304" s="67" t="s">
        <v>1785</v>
      </c>
    </row>
    <row r="2305" spans="1:4" x14ac:dyDescent="0.25">
      <c r="A2305" s="91" t="s">
        <v>2981</v>
      </c>
      <c r="B2305" s="67" t="s">
        <v>1699</v>
      </c>
      <c r="C2305" s="74">
        <f>140.37*0.8*0.95</f>
        <v>106.6812</v>
      </c>
      <c r="D2305" s="67" t="s">
        <v>1785</v>
      </c>
    </row>
    <row r="2306" spans="1:4" x14ac:dyDescent="0.25">
      <c r="A2306" s="91" t="s">
        <v>2983</v>
      </c>
      <c r="B2306" s="67" t="s">
        <v>1700</v>
      </c>
      <c r="C2306" s="74">
        <f>176.14*0.8*0.95</f>
        <v>133.8664</v>
      </c>
      <c r="D2306" s="67" t="s">
        <v>1785</v>
      </c>
    </row>
    <row r="2307" spans="1:4" x14ac:dyDescent="0.25">
      <c r="A2307" s="91" t="s">
        <v>3072</v>
      </c>
      <c r="B2307" s="67" t="s">
        <v>1701</v>
      </c>
      <c r="C2307" s="74">
        <f>3754.4*0.8*0.95</f>
        <v>2853.3440000000005</v>
      </c>
      <c r="D2307" s="67" t="s">
        <v>1784</v>
      </c>
    </row>
    <row r="2308" spans="1:4" ht="15.75" x14ac:dyDescent="0.25">
      <c r="A2308" s="94" t="s">
        <v>2034</v>
      </c>
      <c r="B2308" s="67">
        <v>2500</v>
      </c>
      <c r="C2308" s="75">
        <v>1703</v>
      </c>
      <c r="D2308" s="67" t="s">
        <v>1784</v>
      </c>
    </row>
    <row r="2309" spans="1:4" ht="15.75" x14ac:dyDescent="0.25">
      <c r="A2309" s="94" t="s">
        <v>2122</v>
      </c>
      <c r="B2309" s="67">
        <v>3000</v>
      </c>
      <c r="C2309" s="75">
        <v>8093</v>
      </c>
      <c r="D2309" s="67" t="s">
        <v>1784</v>
      </c>
    </row>
    <row r="2310" spans="1:4" ht="15.75" x14ac:dyDescent="0.25">
      <c r="A2310" s="94" t="s">
        <v>2123</v>
      </c>
      <c r="B2310" s="67">
        <v>2981</v>
      </c>
      <c r="C2310" s="75">
        <v>2751</v>
      </c>
      <c r="D2310" s="67" t="s">
        <v>1784</v>
      </c>
    </row>
    <row r="2311" spans="1:4" ht="15.75" x14ac:dyDescent="0.25">
      <c r="A2311" s="94" t="s">
        <v>2300</v>
      </c>
      <c r="B2311" s="67">
        <v>3109</v>
      </c>
      <c r="C2311" s="75">
        <v>6162</v>
      </c>
      <c r="D2311" s="67" t="s">
        <v>1784</v>
      </c>
    </row>
    <row r="2312" spans="1:4" ht="15.75" x14ac:dyDescent="0.25">
      <c r="A2312" s="94" t="s">
        <v>2301</v>
      </c>
      <c r="B2312" s="67">
        <v>3114</v>
      </c>
      <c r="C2312" s="75">
        <v>7116</v>
      </c>
      <c r="D2312" s="67" t="s">
        <v>1784</v>
      </c>
    </row>
    <row r="2313" spans="1:4" ht="15.75" x14ac:dyDescent="0.25">
      <c r="A2313" s="94" t="s">
        <v>2480</v>
      </c>
      <c r="B2313" s="67">
        <v>4953</v>
      </c>
      <c r="C2313" s="75">
        <v>13332</v>
      </c>
      <c r="D2313" s="67" t="s">
        <v>1784</v>
      </c>
    </row>
    <row r="2314" spans="1:4" ht="15.75" x14ac:dyDescent="0.25">
      <c r="A2314" s="94" t="s">
        <v>2302</v>
      </c>
      <c r="B2314" s="67">
        <v>1518</v>
      </c>
      <c r="C2314" s="75">
        <v>8656</v>
      </c>
      <c r="D2314" s="67" t="s">
        <v>1784</v>
      </c>
    </row>
    <row r="2315" spans="1:4" ht="15.75" x14ac:dyDescent="0.25">
      <c r="A2315" s="94" t="s">
        <v>2303</v>
      </c>
      <c r="B2315" s="67">
        <v>1545</v>
      </c>
      <c r="C2315" s="75">
        <v>10304</v>
      </c>
      <c r="D2315" s="67" t="s">
        <v>1784</v>
      </c>
    </row>
    <row r="2316" spans="1:4" ht="15.75" x14ac:dyDescent="0.25">
      <c r="A2316" s="94" t="s">
        <v>2304</v>
      </c>
      <c r="B2316" s="67">
        <v>1365</v>
      </c>
      <c r="C2316" s="75">
        <v>2847</v>
      </c>
      <c r="D2316" s="67" t="s">
        <v>1784</v>
      </c>
    </row>
    <row r="2317" spans="1:4" ht="15.75" x14ac:dyDescent="0.25">
      <c r="A2317" s="94" t="s">
        <v>2305</v>
      </c>
      <c r="B2317" s="67">
        <v>1593</v>
      </c>
      <c r="C2317" s="75">
        <v>4893</v>
      </c>
      <c r="D2317" s="67" t="s">
        <v>1784</v>
      </c>
    </row>
    <row r="2318" spans="1:4" ht="15.75" x14ac:dyDescent="0.25">
      <c r="A2318" s="94" t="s">
        <v>2373</v>
      </c>
      <c r="B2318" s="67">
        <v>4434</v>
      </c>
      <c r="C2318" s="75">
        <v>7386</v>
      </c>
      <c r="D2318" s="67" t="s">
        <v>1784</v>
      </c>
    </row>
    <row r="2319" spans="1:4" ht="15.75" x14ac:dyDescent="0.25">
      <c r="A2319" s="94" t="s">
        <v>2374</v>
      </c>
      <c r="B2319" s="67">
        <v>4426</v>
      </c>
      <c r="C2319" s="75">
        <v>9819</v>
      </c>
      <c r="D2319" s="67" t="s">
        <v>1784</v>
      </c>
    </row>
    <row r="2320" spans="1:4" ht="15.75" x14ac:dyDescent="0.25">
      <c r="A2320" s="94" t="s">
        <v>2375</v>
      </c>
      <c r="B2320" s="67">
        <v>5238</v>
      </c>
      <c r="C2320" s="75">
        <v>5390</v>
      </c>
      <c r="D2320" s="67" t="s">
        <v>1784</v>
      </c>
    </row>
    <row r="2321" spans="1:4" ht="15.75" x14ac:dyDescent="0.25">
      <c r="A2321" s="94" t="s">
        <v>2376</v>
      </c>
      <c r="B2321" s="67">
        <v>4436</v>
      </c>
      <c r="C2321" s="75">
        <v>5142</v>
      </c>
      <c r="D2321" s="67" t="s">
        <v>1784</v>
      </c>
    </row>
    <row r="2322" spans="1:4" ht="15.75" x14ac:dyDescent="0.25">
      <c r="A2322" s="94" t="s">
        <v>2377</v>
      </c>
      <c r="B2322" s="67">
        <v>4206</v>
      </c>
      <c r="C2322" s="75">
        <v>3148</v>
      </c>
      <c r="D2322" s="67" t="s">
        <v>1784</v>
      </c>
    </row>
    <row r="2323" spans="1:4" ht="15.75" x14ac:dyDescent="0.25">
      <c r="A2323" s="94" t="s">
        <v>2378</v>
      </c>
      <c r="B2323" s="67">
        <v>4308</v>
      </c>
      <c r="C2323" s="75">
        <v>5311</v>
      </c>
      <c r="D2323" s="67" t="s">
        <v>1784</v>
      </c>
    </row>
    <row r="2324" spans="1:4" ht="15.75" x14ac:dyDescent="0.25">
      <c r="A2324" s="94" t="s">
        <v>2379</v>
      </c>
      <c r="B2324" s="67">
        <v>4424</v>
      </c>
      <c r="C2324" s="75">
        <v>9168</v>
      </c>
      <c r="D2324" s="67" t="s">
        <v>1784</v>
      </c>
    </row>
    <row r="2325" spans="1:4" ht="15.75" x14ac:dyDescent="0.25">
      <c r="A2325" s="94" t="s">
        <v>3312</v>
      </c>
      <c r="B2325" s="67" t="s">
        <v>1879</v>
      </c>
      <c r="C2325" s="75">
        <v>112</v>
      </c>
      <c r="D2325" s="67" t="s">
        <v>1784</v>
      </c>
    </row>
    <row r="2326" spans="1:4" ht="15.75" x14ac:dyDescent="0.25">
      <c r="A2326" s="94" t="s">
        <v>3313</v>
      </c>
      <c r="B2326" s="67" t="s">
        <v>1880</v>
      </c>
      <c r="C2326" s="75">
        <v>112</v>
      </c>
      <c r="D2326" s="67" t="s">
        <v>1784</v>
      </c>
    </row>
    <row r="2327" spans="1:4" ht="15.75" x14ac:dyDescent="0.25">
      <c r="A2327" s="94" t="s">
        <v>3314</v>
      </c>
      <c r="B2327" s="67" t="s">
        <v>1881</v>
      </c>
      <c r="C2327" s="75">
        <v>112</v>
      </c>
      <c r="D2327" s="67" t="s">
        <v>1784</v>
      </c>
    </row>
    <row r="2328" spans="1:4" ht="15.75" x14ac:dyDescent="0.25">
      <c r="A2328" s="94" t="s">
        <v>3311</v>
      </c>
      <c r="B2328" s="67" t="s">
        <v>1878</v>
      </c>
      <c r="C2328" s="75">
        <v>112</v>
      </c>
      <c r="D2328" s="67" t="s">
        <v>1784</v>
      </c>
    </row>
    <row r="2329" spans="1:4" ht="15.75" x14ac:dyDescent="0.25">
      <c r="A2329" s="94" t="s">
        <v>3318</v>
      </c>
      <c r="B2329" s="67" t="s">
        <v>1885</v>
      </c>
      <c r="C2329" s="75">
        <v>168</v>
      </c>
      <c r="D2329" s="67" t="s">
        <v>1784</v>
      </c>
    </row>
    <row r="2330" spans="1:4" ht="15.75" x14ac:dyDescent="0.25">
      <c r="A2330" s="94" t="s">
        <v>3316</v>
      </c>
      <c r="B2330" s="67" t="s">
        <v>1883</v>
      </c>
      <c r="C2330" s="75">
        <v>168</v>
      </c>
      <c r="D2330" s="67" t="s">
        <v>1784</v>
      </c>
    </row>
    <row r="2331" spans="1:4" ht="15.75" x14ac:dyDescent="0.25">
      <c r="A2331" s="94" t="s">
        <v>3317</v>
      </c>
      <c r="B2331" s="67" t="s">
        <v>1884</v>
      </c>
      <c r="C2331" s="75">
        <v>168</v>
      </c>
      <c r="D2331" s="67" t="s">
        <v>1784</v>
      </c>
    </row>
    <row r="2332" spans="1:4" ht="15.75" x14ac:dyDescent="0.25">
      <c r="A2332" s="94" t="s">
        <v>3315</v>
      </c>
      <c r="B2332" s="67" t="s">
        <v>1882</v>
      </c>
      <c r="C2332" s="75">
        <v>168</v>
      </c>
      <c r="D2332" s="67" t="s">
        <v>1784</v>
      </c>
    </row>
    <row r="2333" spans="1:4" ht="15.75" x14ac:dyDescent="0.25">
      <c r="A2333" s="94" t="s">
        <v>3310</v>
      </c>
      <c r="B2333" s="67" t="s">
        <v>1877</v>
      </c>
      <c r="C2333" s="75">
        <v>76</v>
      </c>
      <c r="D2333" s="67" t="s">
        <v>1784</v>
      </c>
    </row>
    <row r="2334" spans="1:4" ht="15.75" x14ac:dyDescent="0.25">
      <c r="A2334" s="94" t="s">
        <v>3309</v>
      </c>
      <c r="B2334" s="67" t="s">
        <v>1876</v>
      </c>
      <c r="C2334" s="75">
        <v>76</v>
      </c>
      <c r="D2334" s="67" t="s">
        <v>1784</v>
      </c>
    </row>
    <row r="2335" spans="1:4" ht="15.75" x14ac:dyDescent="0.25">
      <c r="A2335" s="94" t="s">
        <v>3307</v>
      </c>
      <c r="B2335" s="67" t="s">
        <v>1874</v>
      </c>
      <c r="C2335" s="75">
        <v>76</v>
      </c>
      <c r="D2335" s="67" t="s">
        <v>1784</v>
      </c>
    </row>
    <row r="2336" spans="1:4" ht="15.75" x14ac:dyDescent="0.25">
      <c r="A2336" s="94" t="s">
        <v>3308</v>
      </c>
      <c r="B2336" s="67" t="s">
        <v>1875</v>
      </c>
      <c r="C2336" s="75">
        <v>76</v>
      </c>
      <c r="D2336" s="67" t="s">
        <v>1784</v>
      </c>
    </row>
    <row r="2337" spans="1:4" ht="15.75" x14ac:dyDescent="0.25">
      <c r="A2337" s="94" t="s">
        <v>3306</v>
      </c>
      <c r="B2337" s="67" t="s">
        <v>1786</v>
      </c>
      <c r="C2337" s="75">
        <v>76</v>
      </c>
      <c r="D2337" s="67" t="s">
        <v>1784</v>
      </c>
    </row>
    <row r="2338" spans="1:4" x14ac:dyDescent="0.25">
      <c r="A2338" s="91" t="s">
        <v>3303</v>
      </c>
      <c r="B2338" s="67" t="s">
        <v>1702</v>
      </c>
      <c r="C2338" s="74">
        <f>1818.95*0.8*0.95</f>
        <v>1382.402</v>
      </c>
      <c r="D2338" s="67" t="s">
        <v>1784</v>
      </c>
    </row>
    <row r="2339" spans="1:4" x14ac:dyDescent="0.25">
      <c r="A2339" s="91" t="s">
        <v>3304</v>
      </c>
      <c r="B2339" s="67" t="s">
        <v>1703</v>
      </c>
      <c r="C2339" s="74">
        <f>1314.95*0.8*0.95</f>
        <v>999.36199999999997</v>
      </c>
      <c r="D2339" s="67" t="s">
        <v>1784</v>
      </c>
    </row>
    <row r="2340" spans="1:4" ht="15.75" x14ac:dyDescent="0.25">
      <c r="A2340" s="94" t="s">
        <v>3327</v>
      </c>
      <c r="B2340" s="67" t="s">
        <v>1894</v>
      </c>
      <c r="C2340" s="75">
        <v>126</v>
      </c>
      <c r="D2340" s="67" t="s">
        <v>1784</v>
      </c>
    </row>
    <row r="2341" spans="1:4" ht="15.75" x14ac:dyDescent="0.25">
      <c r="A2341" s="94" t="s">
        <v>3322</v>
      </c>
      <c r="B2341" s="67" t="s">
        <v>1889</v>
      </c>
      <c r="C2341" s="75">
        <v>92</v>
      </c>
      <c r="D2341" s="67" t="s">
        <v>1784</v>
      </c>
    </row>
    <row r="2342" spans="1:4" ht="15.75" x14ac:dyDescent="0.25">
      <c r="A2342" s="94" t="s">
        <v>3326</v>
      </c>
      <c r="B2342" s="67" t="s">
        <v>1893</v>
      </c>
      <c r="C2342" s="75">
        <v>98</v>
      </c>
      <c r="D2342" s="67" t="s">
        <v>1784</v>
      </c>
    </row>
    <row r="2343" spans="1:4" ht="15.75" x14ac:dyDescent="0.25">
      <c r="A2343" s="94" t="s">
        <v>3324</v>
      </c>
      <c r="B2343" s="67" t="s">
        <v>1891</v>
      </c>
      <c r="C2343" s="75">
        <v>92</v>
      </c>
      <c r="D2343" s="67" t="s">
        <v>1784</v>
      </c>
    </row>
    <row r="2344" spans="1:4" ht="15.75" x14ac:dyDescent="0.25">
      <c r="A2344" s="94" t="s">
        <v>3325</v>
      </c>
      <c r="B2344" s="67" t="s">
        <v>1892</v>
      </c>
      <c r="C2344" s="75">
        <v>98</v>
      </c>
      <c r="D2344" s="67" t="s">
        <v>1784</v>
      </c>
    </row>
    <row r="2345" spans="1:4" ht="15.75" x14ac:dyDescent="0.25">
      <c r="A2345" s="94" t="s">
        <v>3323</v>
      </c>
      <c r="B2345" s="67" t="s">
        <v>1890</v>
      </c>
      <c r="C2345" s="75">
        <v>92</v>
      </c>
      <c r="D2345" s="67" t="s">
        <v>1784</v>
      </c>
    </row>
    <row r="2346" spans="1:4" x14ac:dyDescent="0.25">
      <c r="A2346" s="91" t="s">
        <v>3116</v>
      </c>
      <c r="B2346" s="67" t="s">
        <v>1704</v>
      </c>
      <c r="C2346" s="74">
        <f>1578.99*0.8*0.95</f>
        <v>1200.0324000000001</v>
      </c>
      <c r="D2346" s="67" t="s">
        <v>1785</v>
      </c>
    </row>
    <row r="2347" spans="1:4" x14ac:dyDescent="0.25">
      <c r="A2347" s="91" t="s">
        <v>3111</v>
      </c>
      <c r="B2347" s="67" t="s">
        <v>1705</v>
      </c>
      <c r="C2347" s="74">
        <f>558.78*0.8*0.95</f>
        <v>424.6728</v>
      </c>
      <c r="D2347" s="67" t="s">
        <v>1785</v>
      </c>
    </row>
    <row r="2348" spans="1:4" ht="15.75" x14ac:dyDescent="0.25">
      <c r="A2348" s="94" t="s">
        <v>2124</v>
      </c>
      <c r="B2348" s="67">
        <v>2423</v>
      </c>
      <c r="C2348" s="75">
        <v>1497</v>
      </c>
      <c r="D2348" s="67" t="s">
        <v>1784</v>
      </c>
    </row>
    <row r="2349" spans="1:4" ht="15.75" x14ac:dyDescent="0.25">
      <c r="A2349" s="94" t="s">
        <v>2481</v>
      </c>
      <c r="B2349" s="67">
        <v>4425</v>
      </c>
      <c r="C2349" s="75">
        <v>2501</v>
      </c>
      <c r="D2349" s="67" t="s">
        <v>1784</v>
      </c>
    </row>
    <row r="2350" spans="1:4" ht="15.75" x14ac:dyDescent="0.25">
      <c r="A2350" s="94" t="s">
        <v>2306</v>
      </c>
      <c r="B2350" s="67">
        <v>3969</v>
      </c>
      <c r="C2350" s="75">
        <v>926</v>
      </c>
      <c r="D2350" s="67" t="s">
        <v>1784</v>
      </c>
    </row>
    <row r="2351" spans="1:4" ht="15.75" x14ac:dyDescent="0.25">
      <c r="A2351" s="94" t="s">
        <v>2307</v>
      </c>
      <c r="B2351" s="67">
        <v>1401</v>
      </c>
      <c r="C2351" s="75">
        <v>1573</v>
      </c>
      <c r="D2351" s="67" t="s">
        <v>1784</v>
      </c>
    </row>
    <row r="2352" spans="1:4" ht="15.75" x14ac:dyDescent="0.25">
      <c r="A2352" s="94" t="s">
        <v>2308</v>
      </c>
      <c r="B2352" s="67">
        <v>4408</v>
      </c>
      <c r="C2352" s="75">
        <v>5053</v>
      </c>
      <c r="D2352" s="67" t="s">
        <v>1784</v>
      </c>
    </row>
    <row r="2353" spans="1:4" x14ac:dyDescent="0.25">
      <c r="A2353" s="91" t="s">
        <v>2920</v>
      </c>
      <c r="B2353" s="67" t="s">
        <v>1706</v>
      </c>
      <c r="C2353" s="74">
        <f>887.25*0.8*0.95</f>
        <v>674.31000000000006</v>
      </c>
      <c r="D2353" s="67" t="s">
        <v>1784</v>
      </c>
    </row>
    <row r="2354" spans="1:4" x14ac:dyDescent="0.25">
      <c r="A2354" s="91" t="s">
        <v>2899</v>
      </c>
      <c r="B2354" s="67" t="s">
        <v>1707</v>
      </c>
      <c r="C2354" s="74">
        <f>23.45*0.8*0.95</f>
        <v>17.821999999999999</v>
      </c>
      <c r="D2354" s="67" t="s">
        <v>1785</v>
      </c>
    </row>
    <row r="2355" spans="1:4" x14ac:dyDescent="0.25">
      <c r="A2355" s="91" t="s">
        <v>2900</v>
      </c>
      <c r="B2355" s="67" t="s">
        <v>1708</v>
      </c>
      <c r="C2355" s="74">
        <f>35.27*0.8*0.95</f>
        <v>26.805200000000003</v>
      </c>
      <c r="D2355" s="67" t="s">
        <v>1785</v>
      </c>
    </row>
    <row r="2356" spans="1:4" x14ac:dyDescent="0.25">
      <c r="A2356" s="91" t="s">
        <v>3136</v>
      </c>
      <c r="B2356" s="67" t="s">
        <v>1709</v>
      </c>
      <c r="C2356" s="74">
        <f>233.1*0.8*0.95</f>
        <v>177.15600000000001</v>
      </c>
      <c r="D2356" s="67" t="s">
        <v>1784</v>
      </c>
    </row>
    <row r="2357" spans="1:4" x14ac:dyDescent="0.25">
      <c r="A2357" s="91" t="s">
        <v>3137</v>
      </c>
      <c r="B2357" s="67" t="s">
        <v>1710</v>
      </c>
      <c r="C2357" s="74">
        <f>271.95*0.8*0.95</f>
        <v>206.68199999999999</v>
      </c>
      <c r="D2357" s="67" t="s">
        <v>1784</v>
      </c>
    </row>
    <row r="2358" spans="1:4" x14ac:dyDescent="0.25">
      <c r="A2358" s="91" t="s">
        <v>3141</v>
      </c>
      <c r="B2358" s="67" t="s">
        <v>1711</v>
      </c>
      <c r="C2358" s="74">
        <f>104.65*0.8*0.95</f>
        <v>79.534000000000006</v>
      </c>
      <c r="D2358" s="67" t="s">
        <v>1784</v>
      </c>
    </row>
    <row r="2359" spans="1:4" x14ac:dyDescent="0.25">
      <c r="A2359" s="91" t="s">
        <v>3139</v>
      </c>
      <c r="B2359" s="67" t="s">
        <v>1712</v>
      </c>
      <c r="C2359" s="74">
        <f>234.85*0.8*0.95</f>
        <v>178.48599999999999</v>
      </c>
      <c r="D2359" s="67" t="s">
        <v>1784</v>
      </c>
    </row>
    <row r="2360" spans="1:4" x14ac:dyDescent="0.25">
      <c r="A2360" s="91" t="s">
        <v>3138</v>
      </c>
      <c r="B2360" s="67" t="s">
        <v>1713</v>
      </c>
      <c r="C2360" s="74">
        <f>156.45*0.8*0.95</f>
        <v>118.90199999999999</v>
      </c>
      <c r="D2360" s="67" t="s">
        <v>1784</v>
      </c>
    </row>
    <row r="2361" spans="1:4" x14ac:dyDescent="0.25">
      <c r="A2361" s="91" t="s">
        <v>3140</v>
      </c>
      <c r="B2361" s="67" t="s">
        <v>1714</v>
      </c>
      <c r="C2361" s="74">
        <f>216.65*0.8*0.95</f>
        <v>164.65400000000002</v>
      </c>
      <c r="D2361" s="67" t="s">
        <v>1784</v>
      </c>
    </row>
    <row r="2362" spans="1:4" ht="15.75" x14ac:dyDescent="0.25">
      <c r="A2362" s="94" t="s">
        <v>2404</v>
      </c>
      <c r="B2362" s="67">
        <v>2606</v>
      </c>
      <c r="C2362" s="75">
        <v>440</v>
      </c>
      <c r="D2362" s="67" t="s">
        <v>1784</v>
      </c>
    </row>
    <row r="2363" spans="1:4" x14ac:dyDescent="0.25">
      <c r="A2363" s="91" t="s">
        <v>2921</v>
      </c>
      <c r="B2363" s="67" t="s">
        <v>1715</v>
      </c>
      <c r="C2363" s="74">
        <f>659.75*0.8*0.95</f>
        <v>501.41</v>
      </c>
      <c r="D2363" s="67" t="s">
        <v>1784</v>
      </c>
    </row>
    <row r="2364" spans="1:4" x14ac:dyDescent="0.25">
      <c r="A2364" s="91" t="s">
        <v>2917</v>
      </c>
      <c r="B2364" s="67" t="s">
        <v>1716</v>
      </c>
      <c r="C2364" s="74">
        <f>255.15*0.8*0.95</f>
        <v>193.91399999999999</v>
      </c>
      <c r="D2364" s="67" t="s">
        <v>1784</v>
      </c>
    </row>
    <row r="2365" spans="1:4" x14ac:dyDescent="0.25">
      <c r="A2365" s="91" t="s">
        <v>2919</v>
      </c>
      <c r="B2365" s="67" t="s">
        <v>1717</v>
      </c>
      <c r="C2365" s="74">
        <f>270.2*0.8*0.95</f>
        <v>205.35199999999998</v>
      </c>
      <c r="D2365" s="67" t="s">
        <v>1784</v>
      </c>
    </row>
    <row r="2366" spans="1:4" x14ac:dyDescent="0.25">
      <c r="A2366" s="91" t="s">
        <v>2918</v>
      </c>
      <c r="B2366" s="67" t="s">
        <v>1718</v>
      </c>
      <c r="C2366" s="74">
        <f>240.1*0.8*0.95</f>
        <v>182.476</v>
      </c>
      <c r="D2366" s="67" t="s">
        <v>1784</v>
      </c>
    </row>
    <row r="2367" spans="1:4" x14ac:dyDescent="0.25">
      <c r="A2367" s="91" t="s">
        <v>2915</v>
      </c>
      <c r="B2367" s="67" t="s">
        <v>1719</v>
      </c>
      <c r="C2367" s="74">
        <f>179.9*0.8*0.95</f>
        <v>136.72400000000002</v>
      </c>
      <c r="D2367" s="67" t="s">
        <v>1784</v>
      </c>
    </row>
    <row r="2368" spans="1:4" x14ac:dyDescent="0.25">
      <c r="A2368" s="92" t="s">
        <v>2914</v>
      </c>
      <c r="B2368" s="67" t="s">
        <v>1720</v>
      </c>
      <c r="C2368" s="74">
        <f>175.35*0.8*0.95</f>
        <v>133.26599999999999</v>
      </c>
      <c r="D2368" s="67" t="s">
        <v>1784</v>
      </c>
    </row>
    <row r="2369" spans="1:4" x14ac:dyDescent="0.25">
      <c r="A2369" s="91" t="s">
        <v>2916</v>
      </c>
      <c r="B2369" s="67" t="s">
        <v>1721</v>
      </c>
      <c r="C2369" s="74">
        <f>187.95*0.8*0.95</f>
        <v>142.84199999999998</v>
      </c>
      <c r="D2369" s="67" t="s">
        <v>1784</v>
      </c>
    </row>
    <row r="2370" spans="1:4" x14ac:dyDescent="0.25">
      <c r="A2370" s="91" t="s">
        <v>2927</v>
      </c>
      <c r="B2370" s="67" t="s">
        <v>1722</v>
      </c>
      <c r="C2370" s="74">
        <f>85.05*0.8*0.95</f>
        <v>64.638000000000005</v>
      </c>
      <c r="D2370" s="67" t="s">
        <v>1784</v>
      </c>
    </row>
    <row r="2371" spans="1:4" x14ac:dyDescent="0.25">
      <c r="A2371" s="92" t="s">
        <v>2928</v>
      </c>
      <c r="B2371" s="67" t="s">
        <v>1723</v>
      </c>
      <c r="C2371" s="74">
        <f>100.1*0.8*0.95</f>
        <v>76.075999999999993</v>
      </c>
      <c r="D2371" s="67" t="s">
        <v>1784</v>
      </c>
    </row>
    <row r="2372" spans="1:4" x14ac:dyDescent="0.25">
      <c r="A2372" s="91" t="s">
        <v>2926</v>
      </c>
      <c r="B2372" s="67" t="s">
        <v>1724</v>
      </c>
      <c r="C2372" s="74">
        <f>89.95*0.8*0.95</f>
        <v>68.362000000000009</v>
      </c>
      <c r="D2372" s="67" t="s">
        <v>1784</v>
      </c>
    </row>
    <row r="2373" spans="1:4" x14ac:dyDescent="0.25">
      <c r="A2373" s="91" t="s">
        <v>2925</v>
      </c>
      <c r="B2373" s="67" t="s">
        <v>1725</v>
      </c>
      <c r="C2373" s="74">
        <f>160.3*0.8*0.95</f>
        <v>121.828</v>
      </c>
      <c r="D2373" s="67" t="s">
        <v>1784</v>
      </c>
    </row>
    <row r="2374" spans="1:4" x14ac:dyDescent="0.25">
      <c r="A2374" s="92" t="s">
        <v>2924</v>
      </c>
      <c r="B2374" s="67" t="s">
        <v>1726</v>
      </c>
      <c r="C2374" s="74">
        <f>170.1*0.8*0.95</f>
        <v>129.27600000000001</v>
      </c>
      <c r="D2374" s="67" t="s">
        <v>1784</v>
      </c>
    </row>
    <row r="2375" spans="1:4" x14ac:dyDescent="0.25">
      <c r="A2375" s="91" t="s">
        <v>2922</v>
      </c>
      <c r="B2375" s="67" t="s">
        <v>1727</v>
      </c>
      <c r="C2375" s="74">
        <f>796.25*0.8*0.95</f>
        <v>605.15</v>
      </c>
      <c r="D2375" s="67" t="s">
        <v>1784</v>
      </c>
    </row>
    <row r="2376" spans="1:4" x14ac:dyDescent="0.25">
      <c r="A2376" s="91" t="s">
        <v>2923</v>
      </c>
      <c r="B2376" s="67" t="s">
        <v>1728</v>
      </c>
      <c r="C2376" s="74">
        <f>796.25*0.8*0.95</f>
        <v>605.15</v>
      </c>
      <c r="D2376" s="67" t="s">
        <v>1784</v>
      </c>
    </row>
    <row r="2377" spans="1:4" x14ac:dyDescent="0.25">
      <c r="A2377" s="91" t="s">
        <v>3135</v>
      </c>
      <c r="B2377" s="67" t="s">
        <v>1729</v>
      </c>
      <c r="C2377" s="74">
        <f>1137.5*0.8*0.95</f>
        <v>864.5</v>
      </c>
      <c r="D2377" s="67" t="s">
        <v>1784</v>
      </c>
    </row>
    <row r="2378" spans="1:4" x14ac:dyDescent="0.25">
      <c r="A2378" s="91" t="s">
        <v>3134</v>
      </c>
      <c r="B2378" s="67" t="s">
        <v>1730</v>
      </c>
      <c r="C2378" s="74">
        <f>910*0.8*0.95</f>
        <v>691.6</v>
      </c>
      <c r="D2378" s="67" t="s">
        <v>1784</v>
      </c>
    </row>
    <row r="2379" spans="1:4" x14ac:dyDescent="0.25">
      <c r="A2379" s="92" t="s">
        <v>2999</v>
      </c>
      <c r="B2379" s="67" t="s">
        <v>1731</v>
      </c>
      <c r="C2379" s="74">
        <f>103.6*0.8*0.95</f>
        <v>78.73599999999999</v>
      </c>
      <c r="D2379" s="67" t="s">
        <v>1784</v>
      </c>
    </row>
    <row r="2380" spans="1:4" x14ac:dyDescent="0.25">
      <c r="A2380" s="91" t="s">
        <v>3167</v>
      </c>
      <c r="B2380" s="67" t="s">
        <v>1732</v>
      </c>
      <c r="C2380" s="74">
        <f>160.3*0.8*0.95</f>
        <v>121.828</v>
      </c>
      <c r="D2380" s="67" t="s">
        <v>1784</v>
      </c>
    </row>
    <row r="2381" spans="1:4" ht="15.75" x14ac:dyDescent="0.25">
      <c r="A2381" s="94" t="s">
        <v>2421</v>
      </c>
      <c r="B2381" s="67">
        <v>4325</v>
      </c>
      <c r="C2381" s="75">
        <v>1836</v>
      </c>
      <c r="D2381" s="67" t="s">
        <v>1784</v>
      </c>
    </row>
    <row r="2382" spans="1:4" ht="15.75" x14ac:dyDescent="0.25">
      <c r="A2382" s="94" t="s">
        <v>2568</v>
      </c>
      <c r="B2382" s="68" t="s">
        <v>2569</v>
      </c>
      <c r="C2382" s="76">
        <v>29.73</v>
      </c>
      <c r="D2382" s="67" t="s">
        <v>1784</v>
      </c>
    </row>
    <row r="2383" spans="1:4" ht="15.75" x14ac:dyDescent="0.25">
      <c r="A2383" s="94" t="s">
        <v>2415</v>
      </c>
      <c r="B2383" s="67">
        <v>2703</v>
      </c>
      <c r="C2383" s="75">
        <v>195</v>
      </c>
      <c r="D2383" s="67" t="s">
        <v>1784</v>
      </c>
    </row>
    <row r="2384" spans="1:4" ht="15.75" x14ac:dyDescent="0.25">
      <c r="A2384" s="94" t="s">
        <v>2416</v>
      </c>
      <c r="B2384" s="67">
        <v>2699</v>
      </c>
      <c r="C2384" s="75">
        <v>195</v>
      </c>
      <c r="D2384" s="67" t="s">
        <v>1784</v>
      </c>
    </row>
    <row r="2385" spans="1:4" ht="15.75" x14ac:dyDescent="0.25">
      <c r="A2385" s="94" t="s">
        <v>2035</v>
      </c>
      <c r="B2385" s="67">
        <v>2636</v>
      </c>
      <c r="C2385" s="75">
        <v>1503</v>
      </c>
      <c r="D2385" s="67" t="s">
        <v>1784</v>
      </c>
    </row>
    <row r="2386" spans="1:4" ht="15.75" x14ac:dyDescent="0.25">
      <c r="A2386" s="94" t="s">
        <v>2036</v>
      </c>
      <c r="B2386" s="67">
        <v>2712</v>
      </c>
      <c r="C2386" s="75">
        <v>1587</v>
      </c>
      <c r="D2386" s="67" t="s">
        <v>1784</v>
      </c>
    </row>
    <row r="2387" spans="1:4" ht="15.75" x14ac:dyDescent="0.25">
      <c r="A2387" s="94" t="s">
        <v>2037</v>
      </c>
      <c r="B2387" s="67">
        <v>2628</v>
      </c>
      <c r="C2387" s="75">
        <v>2663</v>
      </c>
      <c r="D2387" s="67" t="s">
        <v>1784</v>
      </c>
    </row>
    <row r="2388" spans="1:4" ht="15.75" x14ac:dyDescent="0.25">
      <c r="A2388" s="94" t="s">
        <v>2038</v>
      </c>
      <c r="B2388" s="67">
        <v>2649</v>
      </c>
      <c r="C2388" s="75">
        <v>2664</v>
      </c>
      <c r="D2388" s="67" t="s">
        <v>1784</v>
      </c>
    </row>
    <row r="2389" spans="1:4" ht="15.75" x14ac:dyDescent="0.25">
      <c r="A2389" s="94" t="s">
        <v>2125</v>
      </c>
      <c r="B2389" s="67">
        <v>3237</v>
      </c>
      <c r="C2389" s="75">
        <v>2500</v>
      </c>
      <c r="D2389" s="67" t="s">
        <v>1784</v>
      </c>
    </row>
    <row r="2390" spans="1:4" ht="15.75" x14ac:dyDescent="0.25">
      <c r="A2390" s="94" t="s">
        <v>2126</v>
      </c>
      <c r="B2390" s="67">
        <v>3238</v>
      </c>
      <c r="C2390" s="75">
        <v>3137</v>
      </c>
      <c r="D2390" s="67" t="s">
        <v>1784</v>
      </c>
    </row>
    <row r="2391" spans="1:4" ht="15.75" x14ac:dyDescent="0.25">
      <c r="A2391" s="94" t="s">
        <v>2127</v>
      </c>
      <c r="B2391" s="67">
        <v>3273</v>
      </c>
      <c r="C2391" s="75">
        <v>4301</v>
      </c>
      <c r="D2391" s="67" t="s">
        <v>1784</v>
      </c>
    </row>
    <row r="2392" spans="1:4" ht="15.75" x14ac:dyDescent="0.25">
      <c r="A2392" s="94" t="s">
        <v>2128</v>
      </c>
      <c r="B2392" s="67">
        <v>2989</v>
      </c>
      <c r="C2392" s="75">
        <v>1421</v>
      </c>
      <c r="D2392" s="67" t="s">
        <v>1784</v>
      </c>
    </row>
    <row r="2393" spans="1:4" ht="15.75" x14ac:dyDescent="0.25">
      <c r="A2393" s="94" t="s">
        <v>2129</v>
      </c>
      <c r="B2393" s="67">
        <v>3112</v>
      </c>
      <c r="C2393" s="75">
        <v>2938</v>
      </c>
      <c r="D2393" s="67" t="s">
        <v>1784</v>
      </c>
    </row>
    <row r="2394" spans="1:4" ht="15.75" x14ac:dyDescent="0.25">
      <c r="A2394" s="94" t="s">
        <v>2130</v>
      </c>
      <c r="B2394" s="67">
        <v>3111</v>
      </c>
      <c r="C2394" s="75">
        <v>2934</v>
      </c>
      <c r="D2394" s="67" t="s">
        <v>1784</v>
      </c>
    </row>
    <row r="2395" spans="1:4" ht="15.75" x14ac:dyDescent="0.25">
      <c r="A2395" s="94" t="s">
        <v>2131</v>
      </c>
      <c r="B2395" s="67">
        <v>3215</v>
      </c>
      <c r="C2395" s="75">
        <v>19688</v>
      </c>
      <c r="D2395" s="67" t="s">
        <v>1784</v>
      </c>
    </row>
    <row r="2396" spans="1:4" ht="15.75" x14ac:dyDescent="0.25">
      <c r="A2396" s="94" t="s">
        <v>2309</v>
      </c>
      <c r="B2396" s="67">
        <v>3891</v>
      </c>
      <c r="C2396" s="75">
        <v>3288</v>
      </c>
      <c r="D2396" s="67" t="s">
        <v>1784</v>
      </c>
    </row>
    <row r="2397" spans="1:4" ht="15.75" x14ac:dyDescent="0.25">
      <c r="A2397" s="94" t="s">
        <v>2310</v>
      </c>
      <c r="B2397" s="67">
        <v>906</v>
      </c>
      <c r="C2397" s="75">
        <v>1170</v>
      </c>
      <c r="D2397" s="67" t="s">
        <v>1784</v>
      </c>
    </row>
    <row r="2398" spans="1:4" ht="15.75" x14ac:dyDescent="0.25">
      <c r="A2398" s="94" t="s">
        <v>2311</v>
      </c>
      <c r="B2398" s="67">
        <v>3767</v>
      </c>
      <c r="C2398" s="75">
        <v>813</v>
      </c>
      <c r="D2398" s="67" t="s">
        <v>1784</v>
      </c>
    </row>
    <row r="2399" spans="1:4" ht="15.75" x14ac:dyDescent="0.25">
      <c r="A2399" s="94" t="s">
        <v>2312</v>
      </c>
      <c r="B2399" s="67">
        <v>3591</v>
      </c>
      <c r="C2399" s="75">
        <v>784</v>
      </c>
      <c r="D2399" s="67" t="s">
        <v>1784</v>
      </c>
    </row>
    <row r="2400" spans="1:4" ht="15.75" x14ac:dyDescent="0.25">
      <c r="A2400" s="94" t="s">
        <v>2313</v>
      </c>
      <c r="B2400" s="67">
        <v>2169</v>
      </c>
      <c r="C2400" s="75">
        <v>1118</v>
      </c>
      <c r="D2400" s="67" t="s">
        <v>1784</v>
      </c>
    </row>
    <row r="2401" spans="1:4" ht="15.75" x14ac:dyDescent="0.25">
      <c r="A2401" s="94" t="s">
        <v>2314</v>
      </c>
      <c r="B2401" s="67">
        <v>1204</v>
      </c>
      <c r="C2401" s="75">
        <v>5112</v>
      </c>
      <c r="D2401" s="67" t="s">
        <v>1784</v>
      </c>
    </row>
    <row r="2402" spans="1:4" ht="15.75" x14ac:dyDescent="0.25">
      <c r="A2402" s="94" t="s">
        <v>2315</v>
      </c>
      <c r="B2402" s="67">
        <v>1175</v>
      </c>
      <c r="C2402" s="75">
        <v>1804</v>
      </c>
      <c r="D2402" s="67" t="s">
        <v>1784</v>
      </c>
    </row>
    <row r="2403" spans="1:4" ht="15.75" x14ac:dyDescent="0.25">
      <c r="A2403" s="94" t="s">
        <v>2316</v>
      </c>
      <c r="B2403" s="67">
        <v>1357</v>
      </c>
      <c r="C2403" s="75">
        <v>3198</v>
      </c>
      <c r="D2403" s="67" t="s">
        <v>1784</v>
      </c>
    </row>
    <row r="2404" spans="1:4" ht="15.75" x14ac:dyDescent="0.25">
      <c r="A2404" s="94" t="s">
        <v>2317</v>
      </c>
      <c r="B2404" s="67">
        <v>1360</v>
      </c>
      <c r="C2404" s="75">
        <v>3135</v>
      </c>
      <c r="D2404" s="67" t="s">
        <v>1784</v>
      </c>
    </row>
    <row r="2405" spans="1:4" ht="15.75" x14ac:dyDescent="0.25">
      <c r="A2405" s="94" t="s">
        <v>2318</v>
      </c>
      <c r="B2405" s="67">
        <v>1669</v>
      </c>
      <c r="C2405" s="75">
        <v>3492</v>
      </c>
      <c r="D2405" s="67" t="s">
        <v>1784</v>
      </c>
    </row>
    <row r="2406" spans="1:4" ht="15.75" x14ac:dyDescent="0.25">
      <c r="A2406" s="94" t="s">
        <v>2319</v>
      </c>
      <c r="B2406" s="67">
        <v>3458</v>
      </c>
      <c r="C2406" s="75">
        <v>4714</v>
      </c>
      <c r="D2406" s="67" t="s">
        <v>1784</v>
      </c>
    </row>
    <row r="2407" spans="1:4" ht="15.75" x14ac:dyDescent="0.25">
      <c r="A2407" s="94" t="s">
        <v>2320</v>
      </c>
      <c r="B2407" s="67">
        <v>3031</v>
      </c>
      <c r="C2407" s="75">
        <v>4351</v>
      </c>
      <c r="D2407" s="67" t="s">
        <v>1784</v>
      </c>
    </row>
    <row r="2408" spans="1:4" ht="15.75" x14ac:dyDescent="0.25">
      <c r="A2408" s="94" t="s">
        <v>2321</v>
      </c>
      <c r="B2408" s="67">
        <v>2419</v>
      </c>
      <c r="C2408" s="75">
        <v>1913</v>
      </c>
      <c r="D2408" s="67" t="s">
        <v>1784</v>
      </c>
    </row>
    <row r="2409" spans="1:4" ht="15.75" x14ac:dyDescent="0.25">
      <c r="A2409" s="94" t="s">
        <v>2322</v>
      </c>
      <c r="B2409" s="67">
        <v>1113</v>
      </c>
      <c r="C2409" s="75">
        <v>12413</v>
      </c>
      <c r="D2409" s="67" t="s">
        <v>1784</v>
      </c>
    </row>
    <row r="2410" spans="1:4" ht="15.75" x14ac:dyDescent="0.25">
      <c r="A2410" s="94" t="s">
        <v>2323</v>
      </c>
      <c r="B2410" s="67">
        <v>1146</v>
      </c>
      <c r="C2410" s="75">
        <v>21910</v>
      </c>
      <c r="D2410" s="67" t="s">
        <v>1784</v>
      </c>
    </row>
    <row r="2411" spans="1:4" ht="15.75" x14ac:dyDescent="0.25">
      <c r="A2411" s="94" t="s">
        <v>2380</v>
      </c>
      <c r="B2411" s="67">
        <v>4393</v>
      </c>
      <c r="C2411" s="75">
        <v>2897</v>
      </c>
      <c r="D2411" s="67" t="s">
        <v>1784</v>
      </c>
    </row>
    <row r="2412" spans="1:4" ht="15.75" x14ac:dyDescent="0.25">
      <c r="A2412" s="94" t="s">
        <v>2381</v>
      </c>
      <c r="B2412" s="67">
        <v>4782</v>
      </c>
      <c r="C2412" s="75">
        <v>23560</v>
      </c>
      <c r="D2412" s="67" t="s">
        <v>1784</v>
      </c>
    </row>
    <row r="2413" spans="1:4" ht="15.75" x14ac:dyDescent="0.25">
      <c r="A2413" s="94" t="s">
        <v>2382</v>
      </c>
      <c r="B2413" s="67">
        <v>4259</v>
      </c>
      <c r="C2413" s="75">
        <v>4385</v>
      </c>
      <c r="D2413" s="67" t="s">
        <v>1784</v>
      </c>
    </row>
    <row r="2414" spans="1:4" ht="15.75" x14ac:dyDescent="0.25">
      <c r="A2414" s="94" t="s">
        <v>2383</v>
      </c>
      <c r="B2414" s="67">
        <v>4200</v>
      </c>
      <c r="C2414" s="75">
        <v>3137</v>
      </c>
      <c r="D2414" s="67" t="s">
        <v>1784</v>
      </c>
    </row>
    <row r="2415" spans="1:4" ht="15.75" x14ac:dyDescent="0.25">
      <c r="A2415" s="94" t="s">
        <v>2384</v>
      </c>
      <c r="B2415" s="67">
        <v>4197</v>
      </c>
      <c r="C2415" s="75">
        <v>3345</v>
      </c>
      <c r="D2415" s="67" t="s">
        <v>1784</v>
      </c>
    </row>
    <row r="2416" spans="1:4" ht="15.75" x14ac:dyDescent="0.25">
      <c r="A2416" s="94" t="s">
        <v>2385</v>
      </c>
      <c r="B2416" s="67">
        <v>4198</v>
      </c>
      <c r="C2416" s="75">
        <v>3559</v>
      </c>
      <c r="D2416" s="67" t="s">
        <v>1784</v>
      </c>
    </row>
    <row r="2417" spans="1:4" ht="15.75" x14ac:dyDescent="0.25">
      <c r="A2417" s="94" t="s">
        <v>2386</v>
      </c>
      <c r="B2417" s="67">
        <v>4201</v>
      </c>
      <c r="C2417" s="75">
        <v>4266</v>
      </c>
      <c r="D2417" s="67" t="s">
        <v>1784</v>
      </c>
    </row>
    <row r="2418" spans="1:4" ht="15.75" x14ac:dyDescent="0.25">
      <c r="A2418" s="94" t="s">
        <v>2387</v>
      </c>
      <c r="B2418" s="67">
        <v>4202</v>
      </c>
      <c r="C2418" s="75">
        <v>6585</v>
      </c>
      <c r="D2418" s="67" t="s">
        <v>1784</v>
      </c>
    </row>
    <row r="2419" spans="1:4" ht="15.75" x14ac:dyDescent="0.25">
      <c r="A2419" s="94" t="s">
        <v>2388</v>
      </c>
      <c r="B2419" s="67">
        <v>4429</v>
      </c>
      <c r="C2419" s="75">
        <v>3803</v>
      </c>
      <c r="D2419" s="67" t="s">
        <v>1784</v>
      </c>
    </row>
    <row r="2420" spans="1:4" ht="15.75" x14ac:dyDescent="0.25">
      <c r="A2420" s="94" t="s">
        <v>2389</v>
      </c>
      <c r="B2420" s="67">
        <v>4431</v>
      </c>
      <c r="C2420" s="75">
        <v>1920</v>
      </c>
      <c r="D2420" s="67" t="s">
        <v>1784</v>
      </c>
    </row>
    <row r="2421" spans="1:4" ht="15.75" x14ac:dyDescent="0.25">
      <c r="A2421" s="94" t="s">
        <v>2390</v>
      </c>
      <c r="B2421" s="67">
        <v>4438</v>
      </c>
      <c r="C2421" s="75">
        <v>1883</v>
      </c>
      <c r="D2421" s="67" t="s">
        <v>1784</v>
      </c>
    </row>
    <row r="2422" spans="1:4" ht="15.75" x14ac:dyDescent="0.25">
      <c r="A2422" s="94" t="s">
        <v>2391</v>
      </c>
      <c r="B2422" s="67">
        <v>4120</v>
      </c>
      <c r="C2422" s="75">
        <v>4797</v>
      </c>
      <c r="D2422" s="67" t="s">
        <v>1784</v>
      </c>
    </row>
    <row r="2423" spans="1:4" ht="15.75" x14ac:dyDescent="0.25">
      <c r="A2423" s="94" t="s">
        <v>2392</v>
      </c>
      <c r="B2423" s="67">
        <v>4210</v>
      </c>
      <c r="C2423" s="75">
        <v>36456</v>
      </c>
      <c r="D2423" s="67" t="s">
        <v>1784</v>
      </c>
    </row>
    <row r="2424" spans="1:4" ht="15.75" x14ac:dyDescent="0.25">
      <c r="A2424" s="94" t="s">
        <v>2393</v>
      </c>
      <c r="B2424" s="67">
        <v>4211</v>
      </c>
      <c r="C2424" s="75">
        <v>37187</v>
      </c>
      <c r="D2424" s="67" t="s">
        <v>1784</v>
      </c>
    </row>
    <row r="2425" spans="1:4" ht="15.75" x14ac:dyDescent="0.25">
      <c r="A2425" s="94" t="s">
        <v>2394</v>
      </c>
      <c r="B2425" s="67">
        <v>4207</v>
      </c>
      <c r="C2425" s="75">
        <v>48600</v>
      </c>
      <c r="D2425" s="67" t="s">
        <v>1784</v>
      </c>
    </row>
    <row r="2426" spans="1:4" ht="15.75" x14ac:dyDescent="0.25">
      <c r="A2426" s="94" t="s">
        <v>2570</v>
      </c>
      <c r="B2426" s="68" t="s">
        <v>3358</v>
      </c>
      <c r="C2426" s="76">
        <v>10.5</v>
      </c>
      <c r="D2426" s="67" t="s">
        <v>1784</v>
      </c>
    </row>
    <row r="2427" spans="1:4" x14ac:dyDescent="0.25">
      <c r="A2427" s="92" t="s">
        <v>3019</v>
      </c>
      <c r="B2427" s="67" t="s">
        <v>1733</v>
      </c>
      <c r="C2427" s="74">
        <f>71.05*0.8*0.95</f>
        <v>53.997999999999998</v>
      </c>
      <c r="D2427" s="67" t="s">
        <v>1784</v>
      </c>
    </row>
    <row r="2428" spans="1:4" x14ac:dyDescent="0.25">
      <c r="A2428" s="91" t="s">
        <v>3166</v>
      </c>
      <c r="B2428" s="67" t="s">
        <v>1734</v>
      </c>
      <c r="C2428" s="74">
        <f>67.2*0.8*0.95</f>
        <v>51.072000000000003</v>
      </c>
      <c r="D2428" s="67" t="s">
        <v>1784</v>
      </c>
    </row>
    <row r="2429" spans="1:4" x14ac:dyDescent="0.25">
      <c r="A2429" s="92" t="s">
        <v>3216</v>
      </c>
      <c r="B2429" s="67" t="s">
        <v>1735</v>
      </c>
      <c r="C2429" s="74">
        <f>90.3*0.8*0.95</f>
        <v>68.627999999999986</v>
      </c>
      <c r="D2429" s="67" t="s">
        <v>1784</v>
      </c>
    </row>
    <row r="2430" spans="1:4" x14ac:dyDescent="0.25">
      <c r="A2430" s="91" t="s">
        <v>2991</v>
      </c>
      <c r="B2430" s="67" t="s">
        <v>1736</v>
      </c>
      <c r="C2430" s="74">
        <f>12.42*0.8*0.95</f>
        <v>9.4391999999999996</v>
      </c>
      <c r="D2430" s="67" t="s">
        <v>1785</v>
      </c>
    </row>
    <row r="2431" spans="1:4" x14ac:dyDescent="0.25">
      <c r="A2431" s="92" t="s">
        <v>3006</v>
      </c>
      <c r="B2431" s="67" t="s">
        <v>1737</v>
      </c>
      <c r="C2431" s="74">
        <f>31.02*0.8*0.95</f>
        <v>23.575200000000002</v>
      </c>
      <c r="D2431" s="67" t="s">
        <v>1784</v>
      </c>
    </row>
    <row r="2432" spans="1:4" x14ac:dyDescent="0.25">
      <c r="A2432" s="92" t="s">
        <v>3168</v>
      </c>
      <c r="B2432" s="67" t="s">
        <v>1738</v>
      </c>
      <c r="C2432" s="74">
        <f>18.77*0.8*0.95</f>
        <v>14.2652</v>
      </c>
      <c r="D2432" s="67" t="s">
        <v>1784</v>
      </c>
    </row>
    <row r="2433" spans="1:4" x14ac:dyDescent="0.25">
      <c r="A2433" s="91" t="s">
        <v>3171</v>
      </c>
      <c r="B2433" s="67" t="s">
        <v>1739</v>
      </c>
      <c r="C2433" s="74">
        <f>73.87*0.8*0.95</f>
        <v>56.141199999999998</v>
      </c>
      <c r="D2433" s="67" t="s">
        <v>1784</v>
      </c>
    </row>
    <row r="2434" spans="1:4" x14ac:dyDescent="0.25">
      <c r="A2434" s="91" t="s">
        <v>3170</v>
      </c>
      <c r="B2434" s="67" t="s">
        <v>1740</v>
      </c>
      <c r="C2434" s="74">
        <f>124.75*0.8*0.95</f>
        <v>94.81</v>
      </c>
      <c r="D2434" s="67" t="s">
        <v>1784</v>
      </c>
    </row>
    <row r="2435" spans="1:4" x14ac:dyDescent="0.25">
      <c r="A2435" s="91" t="s">
        <v>3169</v>
      </c>
      <c r="B2435" s="67" t="s">
        <v>1741</v>
      </c>
      <c r="C2435" s="74">
        <f>73.87*0.8*0.95</f>
        <v>56.141199999999998</v>
      </c>
      <c r="D2435" s="67" t="s">
        <v>1784</v>
      </c>
    </row>
    <row r="2436" spans="1:4" ht="15.75" x14ac:dyDescent="0.25">
      <c r="A2436" s="94" t="s">
        <v>2405</v>
      </c>
      <c r="B2436" s="67">
        <v>1879</v>
      </c>
      <c r="C2436" s="75">
        <v>137</v>
      </c>
      <c r="D2436" s="67" t="s">
        <v>1784</v>
      </c>
    </row>
    <row r="2437" spans="1:4" ht="15.75" x14ac:dyDescent="0.25">
      <c r="A2437" s="94" t="s">
        <v>2406</v>
      </c>
      <c r="B2437" s="67">
        <v>1865</v>
      </c>
      <c r="C2437" s="75">
        <v>74</v>
      </c>
      <c r="D2437" s="67" t="s">
        <v>1784</v>
      </c>
    </row>
    <row r="2438" spans="1:4" ht="15.75" x14ac:dyDescent="0.25">
      <c r="A2438" s="94" t="s">
        <v>2407</v>
      </c>
      <c r="B2438" s="67">
        <v>1863</v>
      </c>
      <c r="C2438" s="75">
        <v>45</v>
      </c>
      <c r="D2438" s="67" t="s">
        <v>1784</v>
      </c>
    </row>
    <row r="2439" spans="1:4" ht="15.75" x14ac:dyDescent="0.25">
      <c r="A2439" s="94" t="s">
        <v>3352</v>
      </c>
      <c r="B2439" s="67" t="s">
        <v>1919</v>
      </c>
      <c r="C2439" s="75">
        <v>45</v>
      </c>
      <c r="D2439" s="67" t="s">
        <v>1784</v>
      </c>
    </row>
    <row r="2440" spans="1:4" ht="15.75" x14ac:dyDescent="0.25">
      <c r="A2440" s="94" t="s">
        <v>3361</v>
      </c>
      <c r="B2440" s="68" t="s">
        <v>2567</v>
      </c>
      <c r="C2440" s="76">
        <v>16.989999999999998</v>
      </c>
      <c r="D2440" s="67" t="s">
        <v>1784</v>
      </c>
    </row>
    <row r="2441" spans="1:4" x14ac:dyDescent="0.25">
      <c r="A2441" s="92" t="s">
        <v>2966</v>
      </c>
      <c r="B2441" s="67" t="s">
        <v>1742</v>
      </c>
      <c r="C2441" s="74">
        <f>119.37*0.8*0.95</f>
        <v>90.72120000000001</v>
      </c>
      <c r="D2441" s="67" t="s">
        <v>1784</v>
      </c>
    </row>
    <row r="2442" spans="1:4" x14ac:dyDescent="0.25">
      <c r="A2442" s="92" t="s">
        <v>3001</v>
      </c>
      <c r="B2442" s="67" t="s">
        <v>1743</v>
      </c>
      <c r="C2442" s="74">
        <f>109.2*0.8*0.95</f>
        <v>82.992000000000004</v>
      </c>
      <c r="D2442" s="67" t="s">
        <v>1784</v>
      </c>
    </row>
    <row r="2443" spans="1:4" x14ac:dyDescent="0.25">
      <c r="A2443" s="92" t="s">
        <v>3018</v>
      </c>
      <c r="B2443" s="67" t="s">
        <v>1744</v>
      </c>
      <c r="C2443" s="74">
        <f>182*0.8*0.95</f>
        <v>138.32</v>
      </c>
      <c r="D2443" s="67" t="s">
        <v>1784</v>
      </c>
    </row>
    <row r="2444" spans="1:4" x14ac:dyDescent="0.25">
      <c r="A2444" s="92" t="s">
        <v>3000</v>
      </c>
      <c r="B2444" s="67" t="s">
        <v>1745</v>
      </c>
      <c r="C2444" s="74">
        <f>109.2*0.8*0.95</f>
        <v>82.992000000000004</v>
      </c>
      <c r="D2444" s="67" t="s">
        <v>1784</v>
      </c>
    </row>
    <row r="2445" spans="1:4" x14ac:dyDescent="0.25">
      <c r="A2445" s="91" t="s">
        <v>3250</v>
      </c>
      <c r="B2445" s="67" t="s">
        <v>1746</v>
      </c>
      <c r="C2445" s="74">
        <f>109.54*0.8*0.95</f>
        <v>83.250399999999999</v>
      </c>
      <c r="D2445" s="67" t="s">
        <v>1784</v>
      </c>
    </row>
    <row r="2446" spans="1:4" x14ac:dyDescent="0.25">
      <c r="A2446" s="91" t="s">
        <v>3251</v>
      </c>
      <c r="B2446" s="67" t="s">
        <v>1747</v>
      </c>
      <c r="C2446" s="74">
        <f>109.54*0.8*0.95</f>
        <v>83.250399999999999</v>
      </c>
      <c r="D2446" s="67" t="s">
        <v>1784</v>
      </c>
    </row>
    <row r="2447" spans="1:4" x14ac:dyDescent="0.25">
      <c r="A2447" s="91" t="s">
        <v>3107</v>
      </c>
      <c r="B2447" s="67" t="s">
        <v>1748</v>
      </c>
      <c r="C2447" s="74">
        <f>284.19*0.8*0.95</f>
        <v>215.98439999999999</v>
      </c>
      <c r="D2447" s="67" t="s">
        <v>1785</v>
      </c>
    </row>
    <row r="2448" spans="1:4" ht="15.75" x14ac:dyDescent="0.25">
      <c r="A2448" s="94" t="s">
        <v>3354</v>
      </c>
      <c r="B2448" s="67" t="s">
        <v>1922</v>
      </c>
      <c r="C2448" s="75">
        <v>44</v>
      </c>
      <c r="D2448" s="67" t="s">
        <v>1784</v>
      </c>
    </row>
    <row r="2449" spans="1:4" x14ac:dyDescent="0.25">
      <c r="A2449" s="91" t="s">
        <v>3007</v>
      </c>
      <c r="B2449" s="67" t="s">
        <v>1749</v>
      </c>
      <c r="C2449" s="74">
        <f>188.7*0.8*0.95</f>
        <v>143.41200000000001</v>
      </c>
      <c r="D2449" s="67" t="s">
        <v>1784</v>
      </c>
    </row>
    <row r="2450" spans="1:4" x14ac:dyDescent="0.25">
      <c r="A2450" s="91" t="s">
        <v>3152</v>
      </c>
      <c r="B2450" s="67" t="s">
        <v>1750</v>
      </c>
      <c r="C2450" s="74">
        <f>79.43*0.8*0.95</f>
        <v>60.366800000000005</v>
      </c>
      <c r="D2450" s="67" t="s">
        <v>1784</v>
      </c>
    </row>
    <row r="2451" spans="1:4" x14ac:dyDescent="0.25">
      <c r="A2451" s="91" t="s">
        <v>3153</v>
      </c>
      <c r="B2451" s="67" t="s">
        <v>1751</v>
      </c>
      <c r="C2451" s="74">
        <f>384.78*0.8*0.95</f>
        <v>292.43279999999999</v>
      </c>
      <c r="D2451" s="67" t="s">
        <v>1784</v>
      </c>
    </row>
    <row r="2452" spans="1:4" x14ac:dyDescent="0.25">
      <c r="A2452" s="91" t="s">
        <v>3158</v>
      </c>
      <c r="B2452" s="67" t="s">
        <v>1752</v>
      </c>
      <c r="C2452" s="74">
        <f>335.24*0.8*0.95</f>
        <v>254.7824</v>
      </c>
      <c r="D2452" s="67" t="s">
        <v>1784</v>
      </c>
    </row>
    <row r="2453" spans="1:4" x14ac:dyDescent="0.25">
      <c r="A2453" s="91" t="s">
        <v>3156</v>
      </c>
      <c r="B2453" s="67" t="s">
        <v>1753</v>
      </c>
      <c r="C2453" s="74">
        <f>238.74*0.8*0.95</f>
        <v>181.44240000000002</v>
      </c>
      <c r="D2453" s="67" t="s">
        <v>1784</v>
      </c>
    </row>
    <row r="2454" spans="1:4" x14ac:dyDescent="0.25">
      <c r="A2454" s="91" t="s">
        <v>3154</v>
      </c>
      <c r="B2454" s="67" t="s">
        <v>1754</v>
      </c>
      <c r="C2454" s="74">
        <f>238.74*0.8*0.95</f>
        <v>181.44240000000002</v>
      </c>
      <c r="D2454" s="67" t="s">
        <v>1784</v>
      </c>
    </row>
    <row r="2455" spans="1:4" x14ac:dyDescent="0.25">
      <c r="A2455" s="91" t="s">
        <v>3157</v>
      </c>
      <c r="B2455" s="67" t="s">
        <v>1755</v>
      </c>
      <c r="C2455" s="74">
        <f>1156.5*0.8*0.95</f>
        <v>878.94</v>
      </c>
      <c r="D2455" s="67" t="s">
        <v>1784</v>
      </c>
    </row>
    <row r="2456" spans="1:4" x14ac:dyDescent="0.25">
      <c r="A2456" s="91" t="s">
        <v>3155</v>
      </c>
      <c r="B2456" s="67" t="s">
        <v>1756</v>
      </c>
      <c r="C2456" s="74">
        <f>1156.5*0.8*0.95</f>
        <v>878.94</v>
      </c>
      <c r="D2456" s="67" t="s">
        <v>1784</v>
      </c>
    </row>
    <row r="2457" spans="1:4" x14ac:dyDescent="0.25">
      <c r="A2457" s="92" t="s">
        <v>3210</v>
      </c>
      <c r="B2457" s="67" t="s">
        <v>1757</v>
      </c>
      <c r="C2457" s="74">
        <f>11615.56*0.8*0.95</f>
        <v>8827.8256000000001</v>
      </c>
      <c r="D2457" s="67" t="s">
        <v>1784</v>
      </c>
    </row>
    <row r="2458" spans="1:4" x14ac:dyDescent="0.25">
      <c r="A2458" s="92" t="s">
        <v>3211</v>
      </c>
      <c r="B2458" s="67" t="s">
        <v>1758</v>
      </c>
      <c r="C2458" s="74">
        <f>11615.56*0.8*0.95</f>
        <v>8827.8256000000001</v>
      </c>
      <c r="D2458" s="67" t="s">
        <v>1784</v>
      </c>
    </row>
    <row r="2459" spans="1:4" x14ac:dyDescent="0.25">
      <c r="A2459" s="92" t="s">
        <v>3212</v>
      </c>
      <c r="B2459" s="67" t="s">
        <v>1759</v>
      </c>
      <c r="C2459" s="74">
        <f>11955.78*0.8*0.95</f>
        <v>9086.3928000000014</v>
      </c>
      <c r="D2459" s="67" t="s">
        <v>1784</v>
      </c>
    </row>
    <row r="2460" spans="1:4" x14ac:dyDescent="0.25">
      <c r="A2460" s="92" t="s">
        <v>3213</v>
      </c>
      <c r="B2460" s="67" t="s">
        <v>1760</v>
      </c>
      <c r="C2460" s="74">
        <f>11955.78*0.8*0.95</f>
        <v>9086.3928000000014</v>
      </c>
      <c r="D2460" s="67" t="s">
        <v>1784</v>
      </c>
    </row>
    <row r="2461" spans="1:4" x14ac:dyDescent="0.25">
      <c r="A2461" s="92" t="s">
        <v>3209</v>
      </c>
      <c r="B2461" s="67" t="s">
        <v>1761</v>
      </c>
      <c r="C2461" s="74">
        <f>12195.33*0.8*0.95</f>
        <v>9268.4508000000005</v>
      </c>
      <c r="D2461" s="67" t="s">
        <v>1784</v>
      </c>
    </row>
    <row r="2462" spans="1:4" x14ac:dyDescent="0.25">
      <c r="A2462" s="92" t="s">
        <v>3208</v>
      </c>
      <c r="B2462" s="67" t="s">
        <v>1762</v>
      </c>
      <c r="C2462" s="74">
        <f>12195.33*0.8*0.95</f>
        <v>9268.4508000000005</v>
      </c>
      <c r="D2462" s="67" t="s">
        <v>1784</v>
      </c>
    </row>
    <row r="2463" spans="1:4" ht="15.75" x14ac:dyDescent="0.25">
      <c r="A2463" s="94" t="s">
        <v>3319</v>
      </c>
      <c r="B2463" s="67" t="s">
        <v>1886</v>
      </c>
      <c r="C2463" s="75">
        <v>82</v>
      </c>
      <c r="D2463" s="67" t="s">
        <v>1784</v>
      </c>
    </row>
    <row r="2464" spans="1:4" ht="15.75" x14ac:dyDescent="0.25">
      <c r="A2464" s="94" t="s">
        <v>3321</v>
      </c>
      <c r="B2464" s="67" t="s">
        <v>1888</v>
      </c>
      <c r="C2464" s="75">
        <v>82</v>
      </c>
      <c r="D2464" s="67" t="s">
        <v>1784</v>
      </c>
    </row>
    <row r="2465" spans="1:4" ht="15.75" x14ac:dyDescent="0.25">
      <c r="A2465" s="94" t="s">
        <v>3320</v>
      </c>
      <c r="B2465" s="67" t="s">
        <v>1887</v>
      </c>
      <c r="C2465" s="75">
        <v>82</v>
      </c>
      <c r="D2465" s="67" t="s">
        <v>1784</v>
      </c>
    </row>
    <row r="2466" spans="1:4" ht="15.75" x14ac:dyDescent="0.25">
      <c r="A2466" s="94" t="s">
        <v>2039</v>
      </c>
      <c r="B2466" s="67">
        <v>2725</v>
      </c>
      <c r="C2466" s="75">
        <v>15152</v>
      </c>
      <c r="D2466" s="67" t="s">
        <v>1784</v>
      </c>
    </row>
    <row r="2467" spans="1:4" ht="15.75" x14ac:dyDescent="0.25">
      <c r="A2467" s="94" t="s">
        <v>2040</v>
      </c>
      <c r="B2467" s="67">
        <v>2706</v>
      </c>
      <c r="C2467" s="75">
        <v>8422</v>
      </c>
      <c r="D2467" s="67" t="s">
        <v>1784</v>
      </c>
    </row>
    <row r="2468" spans="1:4" x14ac:dyDescent="0.25">
      <c r="A2468" s="92" t="s">
        <v>2775</v>
      </c>
      <c r="B2468" s="67" t="s">
        <v>1763</v>
      </c>
      <c r="C2468" s="74">
        <f>51.45*0.8*0.95</f>
        <v>39.102000000000004</v>
      </c>
      <c r="D2468" s="67" t="s">
        <v>1784</v>
      </c>
    </row>
    <row r="2469" spans="1:4" x14ac:dyDescent="0.25">
      <c r="A2469" s="91" t="s">
        <v>2769</v>
      </c>
      <c r="B2469" s="67" t="s">
        <v>1764</v>
      </c>
      <c r="C2469" s="74">
        <f>51.45*0.8*0.95</f>
        <v>39.102000000000004</v>
      </c>
      <c r="D2469" s="67" t="s">
        <v>1784</v>
      </c>
    </row>
    <row r="2470" spans="1:4" x14ac:dyDescent="0.25">
      <c r="A2470" s="92" t="s">
        <v>2768</v>
      </c>
      <c r="B2470" s="67" t="s">
        <v>1765</v>
      </c>
      <c r="C2470" s="74">
        <f>59.15*0.8*0.95</f>
        <v>44.954000000000001</v>
      </c>
      <c r="D2470" s="67" t="s">
        <v>1784</v>
      </c>
    </row>
    <row r="2471" spans="1:4" x14ac:dyDescent="0.25">
      <c r="A2471" s="92" t="s">
        <v>2766</v>
      </c>
      <c r="B2471" s="67" t="s">
        <v>1766</v>
      </c>
      <c r="C2471" s="74">
        <f>50.38*0.8*0.95</f>
        <v>38.288800000000002</v>
      </c>
      <c r="D2471" s="67" t="s">
        <v>1784</v>
      </c>
    </row>
    <row r="2472" spans="1:4" x14ac:dyDescent="0.25">
      <c r="A2472" s="92" t="s">
        <v>2767</v>
      </c>
      <c r="B2472" s="67" t="s">
        <v>1767</v>
      </c>
      <c r="C2472" s="74">
        <f>57.05*0.8*0.95</f>
        <v>43.357999999999997</v>
      </c>
      <c r="D2472" s="67" t="s">
        <v>1784</v>
      </c>
    </row>
    <row r="2473" spans="1:4" x14ac:dyDescent="0.25">
      <c r="A2473" s="92" t="s">
        <v>2778</v>
      </c>
      <c r="B2473" s="67" t="s">
        <v>1768</v>
      </c>
      <c r="C2473" s="74">
        <f>57.05*0.8*0.95</f>
        <v>43.357999999999997</v>
      </c>
      <c r="D2473" s="67" t="s">
        <v>1784</v>
      </c>
    </row>
    <row r="2474" spans="1:4" x14ac:dyDescent="0.25">
      <c r="A2474" s="91" t="s">
        <v>2777</v>
      </c>
      <c r="B2474" s="67" t="s">
        <v>1769</v>
      </c>
      <c r="C2474" s="74">
        <f>60.55*0.8*0.95</f>
        <v>46.017999999999994</v>
      </c>
      <c r="D2474" s="67" t="s">
        <v>1784</v>
      </c>
    </row>
    <row r="2475" spans="1:4" x14ac:dyDescent="0.25">
      <c r="A2475" s="92" t="s">
        <v>2776</v>
      </c>
      <c r="B2475" s="67" t="s">
        <v>1770</v>
      </c>
      <c r="C2475" s="74">
        <f>54.6*0.8*0.95</f>
        <v>41.496000000000002</v>
      </c>
      <c r="D2475" s="67" t="s">
        <v>1784</v>
      </c>
    </row>
    <row r="2476" spans="1:4" x14ac:dyDescent="0.25">
      <c r="A2476" s="92" t="s">
        <v>2784</v>
      </c>
      <c r="B2476" s="67" t="s">
        <v>1771</v>
      </c>
      <c r="C2476" s="74">
        <f>75.25*0.8*0.95</f>
        <v>57.19</v>
      </c>
      <c r="D2476" s="67" t="s">
        <v>1784</v>
      </c>
    </row>
    <row r="2477" spans="1:4" x14ac:dyDescent="0.25">
      <c r="A2477" s="92" t="s">
        <v>2780</v>
      </c>
      <c r="B2477" s="67" t="s">
        <v>1772</v>
      </c>
      <c r="C2477" s="74">
        <f>51.45*0.8*0.95</f>
        <v>39.102000000000004</v>
      </c>
      <c r="D2477" s="67" t="s">
        <v>1784</v>
      </c>
    </row>
    <row r="2478" spans="1:4" x14ac:dyDescent="0.25">
      <c r="A2478" s="92" t="s">
        <v>2779</v>
      </c>
      <c r="B2478" s="67" t="s">
        <v>1773</v>
      </c>
      <c r="C2478" s="74">
        <f>50.38*0.8*0.95</f>
        <v>38.288800000000002</v>
      </c>
      <c r="D2478" s="67" t="s">
        <v>1784</v>
      </c>
    </row>
    <row r="2479" spans="1:4" x14ac:dyDescent="0.25">
      <c r="A2479" s="91" t="s">
        <v>2783</v>
      </c>
      <c r="B2479" s="67" t="s">
        <v>1774</v>
      </c>
      <c r="C2479" s="74">
        <f>498.68*0.8*0.95</f>
        <v>378.99680000000001</v>
      </c>
      <c r="D2479" s="67" t="s">
        <v>1784</v>
      </c>
    </row>
    <row r="2480" spans="1:4" x14ac:dyDescent="0.25">
      <c r="A2480" s="91" t="s">
        <v>2785</v>
      </c>
      <c r="B2480" s="67" t="s">
        <v>1775</v>
      </c>
      <c r="C2480" s="74">
        <f>60.2*0.8*0.95</f>
        <v>45.752000000000002</v>
      </c>
      <c r="D2480" s="67" t="s">
        <v>1784</v>
      </c>
    </row>
    <row r="2481" spans="1:4" x14ac:dyDescent="0.25">
      <c r="A2481" s="92" t="s">
        <v>2772</v>
      </c>
      <c r="B2481" s="67" t="s">
        <v>1776</v>
      </c>
      <c r="C2481" s="74">
        <f>59*0.8*0.95</f>
        <v>44.84</v>
      </c>
      <c r="D2481" s="67" t="s">
        <v>1784</v>
      </c>
    </row>
    <row r="2482" spans="1:4" x14ac:dyDescent="0.25">
      <c r="A2482" s="92" t="s">
        <v>2771</v>
      </c>
      <c r="B2482" s="67" t="s">
        <v>1777</v>
      </c>
      <c r="C2482" s="74">
        <f>51.45*0.8*0.95</f>
        <v>39.102000000000004</v>
      </c>
      <c r="D2482" s="67" t="s">
        <v>1784</v>
      </c>
    </row>
    <row r="2483" spans="1:4" x14ac:dyDescent="0.25">
      <c r="A2483" s="92" t="s">
        <v>2773</v>
      </c>
      <c r="B2483" s="67" t="s">
        <v>1778</v>
      </c>
      <c r="C2483" s="74">
        <f>51.45*0.8*0.95</f>
        <v>39.102000000000004</v>
      </c>
      <c r="D2483" s="67" t="s">
        <v>1784</v>
      </c>
    </row>
    <row r="2484" spans="1:4" x14ac:dyDescent="0.25">
      <c r="A2484" s="92" t="s">
        <v>2774</v>
      </c>
      <c r="B2484" s="67" t="s">
        <v>1779</v>
      </c>
      <c r="C2484" s="74">
        <f>51.45*0.8*0.95</f>
        <v>39.102000000000004</v>
      </c>
      <c r="D2484" s="67" t="s">
        <v>1784</v>
      </c>
    </row>
    <row r="2485" spans="1:4" x14ac:dyDescent="0.25">
      <c r="A2485" s="91" t="s">
        <v>2781</v>
      </c>
      <c r="B2485" s="67" t="s">
        <v>1780</v>
      </c>
      <c r="C2485" s="74">
        <f>51.45*0.8*0.95</f>
        <v>39.102000000000004</v>
      </c>
      <c r="D2485" s="67" t="s">
        <v>1784</v>
      </c>
    </row>
    <row r="2486" spans="1:4" x14ac:dyDescent="0.25">
      <c r="A2486" s="91" t="s">
        <v>2782</v>
      </c>
      <c r="B2486" s="67" t="s">
        <v>1781</v>
      </c>
      <c r="C2486" s="74">
        <f>498.68*0.8*0.95</f>
        <v>378.99680000000001</v>
      </c>
      <c r="D2486" s="67" t="s">
        <v>1784</v>
      </c>
    </row>
    <row r="2487" spans="1:4" ht="15.75" x14ac:dyDescent="0.25">
      <c r="A2487" s="94" t="s">
        <v>2566</v>
      </c>
      <c r="B2487" s="67">
        <v>2691</v>
      </c>
      <c r="C2487" s="75">
        <v>275</v>
      </c>
      <c r="D2487" s="67" t="s">
        <v>1784</v>
      </c>
    </row>
    <row r="2488" spans="1:4" x14ac:dyDescent="0.25">
      <c r="A2488" s="92" t="s">
        <v>487</v>
      </c>
      <c r="B2488" s="67" t="s">
        <v>3362</v>
      </c>
      <c r="C2488" s="74"/>
      <c r="D2488" s="67" t="s">
        <v>1784</v>
      </c>
    </row>
    <row r="2489" spans="1:4" x14ac:dyDescent="0.25">
      <c r="A2489" s="92" t="s">
        <v>489</v>
      </c>
      <c r="B2489" s="67" t="s">
        <v>3363</v>
      </c>
      <c r="C2489" s="74"/>
      <c r="D2489" s="67" t="s">
        <v>1784</v>
      </c>
    </row>
    <row r="2490" spans="1:4" x14ac:dyDescent="0.25">
      <c r="A2490" s="92" t="s">
        <v>488</v>
      </c>
      <c r="B2490" s="67" t="s">
        <v>3364</v>
      </c>
      <c r="C2490" s="74"/>
      <c r="D2490" s="67" t="s">
        <v>1784</v>
      </c>
    </row>
    <row r="2491" spans="1:4" x14ac:dyDescent="0.25">
      <c r="A2491" s="92" t="s">
        <v>3383</v>
      </c>
      <c r="B2491" s="67" t="s">
        <v>3365</v>
      </c>
      <c r="C2491" s="74"/>
      <c r="D2491" s="67" t="s">
        <v>1784</v>
      </c>
    </row>
    <row r="2492" spans="1:4" x14ac:dyDescent="0.25">
      <c r="A2492" s="92" t="s">
        <v>3384</v>
      </c>
      <c r="B2492" s="67" t="s">
        <v>3366</v>
      </c>
      <c r="C2492" s="74"/>
      <c r="D2492" s="67" t="s">
        <v>1784</v>
      </c>
    </row>
    <row r="2493" spans="1:4" x14ac:dyDescent="0.25">
      <c r="A2493" s="92" t="s">
        <v>3385</v>
      </c>
      <c r="B2493" s="67" t="s">
        <v>3367</v>
      </c>
      <c r="C2493" s="74"/>
      <c r="D2493" s="67" t="s">
        <v>1784</v>
      </c>
    </row>
    <row r="2494" spans="1:4" x14ac:dyDescent="0.25">
      <c r="A2494" s="92" t="s">
        <v>790</v>
      </c>
      <c r="B2494" s="67" t="s">
        <v>3368</v>
      </c>
      <c r="C2494" s="74"/>
      <c r="D2494" s="67" t="s">
        <v>1784</v>
      </c>
    </row>
    <row r="2495" spans="1:4" x14ac:dyDescent="0.25">
      <c r="A2495" s="92" t="s">
        <v>3386</v>
      </c>
      <c r="B2495" s="67" t="s">
        <v>3369</v>
      </c>
      <c r="C2495" s="74"/>
      <c r="D2495" s="67" t="s">
        <v>1784</v>
      </c>
    </row>
    <row r="2496" spans="1:4" x14ac:dyDescent="0.25">
      <c r="A2496" s="92" t="s">
        <v>789</v>
      </c>
      <c r="B2496" s="67" t="s">
        <v>3370</v>
      </c>
      <c r="C2496" s="74"/>
      <c r="D2496" s="67" t="s">
        <v>1784</v>
      </c>
    </row>
    <row r="2497" spans="1:4" x14ac:dyDescent="0.25">
      <c r="A2497" s="92" t="s">
        <v>3387</v>
      </c>
      <c r="B2497" s="67" t="s">
        <v>3371</v>
      </c>
      <c r="C2497" s="74"/>
      <c r="D2497" s="67" t="s">
        <v>1784</v>
      </c>
    </row>
    <row r="2498" spans="1:4" x14ac:dyDescent="0.25">
      <c r="A2498" s="92" t="s">
        <v>3388</v>
      </c>
      <c r="B2498" s="67" t="s">
        <v>3372</v>
      </c>
      <c r="C2498" s="74"/>
      <c r="D2498" s="67" t="s">
        <v>1784</v>
      </c>
    </row>
    <row r="2499" spans="1:4" x14ac:dyDescent="0.25">
      <c r="A2499" s="92" t="s">
        <v>3389</v>
      </c>
      <c r="B2499" s="67" t="s">
        <v>3373</v>
      </c>
      <c r="C2499" s="74"/>
      <c r="D2499" s="67" t="s">
        <v>1784</v>
      </c>
    </row>
    <row r="2500" spans="1:4" x14ac:dyDescent="0.25">
      <c r="A2500" s="92" t="s">
        <v>599</v>
      </c>
      <c r="B2500" s="67" t="s">
        <v>3374</v>
      </c>
      <c r="C2500" s="74"/>
      <c r="D2500" s="67" t="s">
        <v>1784</v>
      </c>
    </row>
    <row r="2501" spans="1:4" x14ac:dyDescent="0.25">
      <c r="A2501" s="92" t="s">
        <v>3390</v>
      </c>
      <c r="B2501" s="67" t="s">
        <v>3375</v>
      </c>
      <c r="C2501" s="74"/>
      <c r="D2501" s="67" t="s">
        <v>1784</v>
      </c>
    </row>
    <row r="2502" spans="1:4" x14ac:dyDescent="0.25">
      <c r="A2502" s="92" t="s">
        <v>3391</v>
      </c>
      <c r="B2502" s="67" t="s">
        <v>3376</v>
      </c>
      <c r="C2502" s="74"/>
      <c r="D2502" s="67" t="s">
        <v>1784</v>
      </c>
    </row>
    <row r="2503" spans="1:4" x14ac:dyDescent="0.25">
      <c r="A2503" s="92" t="s">
        <v>3392</v>
      </c>
      <c r="B2503" s="67" t="s">
        <v>3377</v>
      </c>
      <c r="C2503" s="74"/>
      <c r="D2503" s="67" t="s">
        <v>1784</v>
      </c>
    </row>
    <row r="2504" spans="1:4" x14ac:dyDescent="0.25">
      <c r="A2504" s="92" t="s">
        <v>3393</v>
      </c>
      <c r="B2504" s="67" t="s">
        <v>3378</v>
      </c>
      <c r="C2504" s="74"/>
      <c r="D2504" s="67" t="s">
        <v>1784</v>
      </c>
    </row>
    <row r="2505" spans="1:4" x14ac:dyDescent="0.25">
      <c r="A2505" s="92" t="s">
        <v>3394</v>
      </c>
      <c r="B2505" s="67" t="s">
        <v>3379</v>
      </c>
      <c r="C2505" s="74"/>
      <c r="D2505" s="67" t="s">
        <v>1784</v>
      </c>
    </row>
    <row r="2506" spans="1:4" x14ac:dyDescent="0.25">
      <c r="A2506" s="92" t="s">
        <v>3395</v>
      </c>
      <c r="B2506" s="67" t="s">
        <v>3380</v>
      </c>
      <c r="C2506" s="74"/>
      <c r="D2506" s="67" t="s">
        <v>1784</v>
      </c>
    </row>
    <row r="2507" spans="1:4" x14ac:dyDescent="0.25">
      <c r="A2507" s="92" t="s">
        <v>3396</v>
      </c>
      <c r="B2507" s="67" t="s">
        <v>3381</v>
      </c>
      <c r="C2507" s="74"/>
      <c r="D2507" s="67" t="s">
        <v>1784</v>
      </c>
    </row>
    <row r="2508" spans="1:4" x14ac:dyDescent="0.25">
      <c r="A2508" s="92" t="s">
        <v>3397</v>
      </c>
      <c r="B2508" s="67" t="s">
        <v>3382</v>
      </c>
      <c r="C2508" s="74"/>
      <c r="D2508" s="67" t="s">
        <v>1784</v>
      </c>
    </row>
    <row r="2509" spans="1:4" x14ac:dyDescent="0.25">
      <c r="A2509" s="92" t="s">
        <v>3398</v>
      </c>
      <c r="B2509" s="67" t="s">
        <v>3399</v>
      </c>
      <c r="C2509" s="74">
        <v>202.84</v>
      </c>
      <c r="D2509" s="67" t="s">
        <v>1784</v>
      </c>
    </row>
    <row r="2510" spans="1:4" x14ac:dyDescent="0.25">
      <c r="A2510" s="92" t="s">
        <v>3400</v>
      </c>
      <c r="B2510" s="67" t="s">
        <v>3401</v>
      </c>
      <c r="C2510" s="74">
        <v>36.799999999999997</v>
      </c>
      <c r="D2510" s="67" t="s">
        <v>1784</v>
      </c>
    </row>
  </sheetData>
  <autoFilter ref="A1:D2510" xr:uid="{3281BCBF-5762-44E2-A048-D6DB8C0E1727}"/>
  <sortState xmlns:xlrd2="http://schemas.microsoft.com/office/spreadsheetml/2017/richdata2" ref="A1018:D2487">
    <sortCondition ref="A1018:A2487"/>
  </sortState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BA1-DC43-41B9-92E5-D5BDF6AA236B}">
  <sheetPr codeName="Sheet4"/>
  <dimension ref="B7:F60"/>
  <sheetViews>
    <sheetView zoomScale="60" zoomScaleNormal="60" workbookViewId="0">
      <selection activeCell="I56" sqref="I56"/>
    </sheetView>
  </sheetViews>
  <sheetFormatPr defaultColWidth="9.140625" defaultRowHeight="15" x14ac:dyDescent="0.25"/>
  <cols>
    <col min="1" max="2" width="30.28515625" customWidth="1"/>
    <col min="3" max="3" width="71.7109375" customWidth="1"/>
    <col min="4" max="8" width="30.28515625" customWidth="1"/>
    <col min="9" max="738" width="96.42578125" bestFit="1" customWidth="1"/>
    <col min="739" max="739" width="11.28515625" bestFit="1" customWidth="1"/>
  </cols>
  <sheetData>
    <row r="7" spans="2:6" ht="16.5" x14ac:dyDescent="0.25">
      <c r="B7" s="41" t="s">
        <v>1044</v>
      </c>
      <c r="C7" s="41" t="s">
        <v>4</v>
      </c>
      <c r="D7" s="41" t="s">
        <v>1782</v>
      </c>
      <c r="E7" s="41" t="s">
        <v>1783</v>
      </c>
    </row>
    <row r="8" spans="2:6" ht="23.25" x14ac:dyDescent="0.35">
      <c r="C8" s="42" t="s">
        <v>1809</v>
      </c>
      <c r="D8" s="46">
        <v>76</v>
      </c>
      <c r="F8" s="57" t="s">
        <v>1793</v>
      </c>
    </row>
    <row r="9" spans="2:6" ht="23.25" x14ac:dyDescent="0.35">
      <c r="C9" s="42" t="s">
        <v>1810</v>
      </c>
      <c r="D9" s="46">
        <v>76</v>
      </c>
      <c r="F9" s="57" t="s">
        <v>1794</v>
      </c>
    </row>
    <row r="10" spans="2:6" ht="23.25" x14ac:dyDescent="0.35">
      <c r="C10" s="42" t="s">
        <v>1811</v>
      </c>
      <c r="D10" s="46">
        <v>76</v>
      </c>
      <c r="F10" s="58" t="s">
        <v>1795</v>
      </c>
    </row>
    <row r="11" spans="2:6" ht="23.25" x14ac:dyDescent="0.35">
      <c r="C11" s="43" t="s">
        <v>1812</v>
      </c>
      <c r="D11" s="46">
        <v>76</v>
      </c>
      <c r="F11" s="59" t="s">
        <v>1796</v>
      </c>
    </row>
    <row r="12" spans="2:6" ht="23.25" x14ac:dyDescent="0.35">
      <c r="C12" s="43" t="s">
        <v>1813</v>
      </c>
      <c r="D12" s="46">
        <v>76</v>
      </c>
      <c r="F12" s="60" t="s">
        <v>1794</v>
      </c>
    </row>
    <row r="13" spans="2:6" ht="23.25" x14ac:dyDescent="0.35">
      <c r="C13" s="43" t="s">
        <v>1814</v>
      </c>
      <c r="D13" s="49">
        <v>112</v>
      </c>
      <c r="F13" s="61" t="s">
        <v>1796</v>
      </c>
    </row>
    <row r="14" spans="2:6" ht="23.25" x14ac:dyDescent="0.35">
      <c r="C14" s="43" t="s">
        <v>1815</v>
      </c>
      <c r="D14" s="49">
        <v>112</v>
      </c>
      <c r="F14" s="57" t="s">
        <v>1794</v>
      </c>
    </row>
    <row r="15" spans="2:6" ht="23.25" x14ac:dyDescent="0.35">
      <c r="C15" s="43" t="s">
        <v>1816</v>
      </c>
      <c r="D15" s="49">
        <v>112</v>
      </c>
      <c r="F15" s="57" t="s">
        <v>1797</v>
      </c>
    </row>
    <row r="16" spans="2:6" ht="23.25" x14ac:dyDescent="0.35">
      <c r="C16" s="43" t="s">
        <v>1817</v>
      </c>
      <c r="D16" s="49">
        <v>112</v>
      </c>
      <c r="F16" s="57" t="s">
        <v>1795</v>
      </c>
    </row>
    <row r="17" spans="3:6" ht="23.25" x14ac:dyDescent="0.35">
      <c r="C17" s="43" t="s">
        <v>1818</v>
      </c>
      <c r="D17" s="49">
        <v>168</v>
      </c>
      <c r="F17" s="61" t="s">
        <v>1795</v>
      </c>
    </row>
    <row r="18" spans="3:6" ht="23.25" x14ac:dyDescent="0.35">
      <c r="C18" s="43" t="s">
        <v>1819</v>
      </c>
      <c r="D18" s="49">
        <v>168</v>
      </c>
      <c r="F18" s="57" t="s">
        <v>1794</v>
      </c>
    </row>
    <row r="19" spans="3:6" ht="23.25" x14ac:dyDescent="0.35">
      <c r="C19" s="43" t="s">
        <v>1820</v>
      </c>
      <c r="D19" s="49">
        <v>168</v>
      </c>
      <c r="F19" s="57" t="s">
        <v>1797</v>
      </c>
    </row>
    <row r="20" spans="3:6" ht="23.25" x14ac:dyDescent="0.35">
      <c r="C20" s="42" t="s">
        <v>1821</v>
      </c>
      <c r="D20" s="50">
        <v>168</v>
      </c>
      <c r="F20" s="62" t="s">
        <v>1795</v>
      </c>
    </row>
    <row r="21" spans="3:6" ht="23.25" x14ac:dyDescent="0.35">
      <c r="C21" s="43" t="s">
        <v>1822</v>
      </c>
      <c r="D21" s="49">
        <v>82</v>
      </c>
      <c r="F21" s="59" t="s">
        <v>1798</v>
      </c>
    </row>
    <row r="22" spans="3:6" ht="23.25" x14ac:dyDescent="0.35">
      <c r="C22" s="43" t="s">
        <v>1823</v>
      </c>
      <c r="D22" s="49">
        <v>82</v>
      </c>
      <c r="F22" s="62" t="s">
        <v>1797</v>
      </c>
    </row>
    <row r="23" spans="3:6" ht="23.25" x14ac:dyDescent="0.35">
      <c r="C23" s="43" t="s">
        <v>1824</v>
      </c>
      <c r="D23" s="49">
        <v>82</v>
      </c>
      <c r="F23" s="57"/>
    </row>
    <row r="24" spans="3:6" ht="23.25" x14ac:dyDescent="0.35">
      <c r="C24" s="42" t="s">
        <v>1825</v>
      </c>
      <c r="D24" s="50">
        <v>92</v>
      </c>
      <c r="F24" s="62" t="s">
        <v>1799</v>
      </c>
    </row>
    <row r="25" spans="3:6" ht="23.25" x14ac:dyDescent="0.35">
      <c r="C25" s="42" t="s">
        <v>1826</v>
      </c>
      <c r="D25" s="50">
        <v>92</v>
      </c>
      <c r="F25" s="62" t="s">
        <v>1800</v>
      </c>
    </row>
    <row r="26" spans="3:6" ht="23.25" x14ac:dyDescent="0.35">
      <c r="C26" s="42" t="s">
        <v>1827</v>
      </c>
      <c r="D26" s="50">
        <v>92</v>
      </c>
      <c r="F26" s="62"/>
    </row>
    <row r="27" spans="3:6" ht="23.25" x14ac:dyDescent="0.35">
      <c r="C27" s="42" t="s">
        <v>1828</v>
      </c>
      <c r="D27" s="50">
        <v>98</v>
      </c>
      <c r="F27" s="62"/>
    </row>
    <row r="28" spans="3:6" ht="23.25" x14ac:dyDescent="0.35">
      <c r="C28" s="42" t="s">
        <v>1829</v>
      </c>
      <c r="D28" s="50">
        <v>98</v>
      </c>
      <c r="F28" s="62" t="s">
        <v>1801</v>
      </c>
    </row>
    <row r="29" spans="3:6" ht="23.25" x14ac:dyDescent="0.35">
      <c r="C29" s="43" t="s">
        <v>1830</v>
      </c>
      <c r="D29" s="49">
        <v>126</v>
      </c>
      <c r="F29" s="59" t="s">
        <v>1794</v>
      </c>
    </row>
    <row r="30" spans="3:6" ht="23.25" x14ac:dyDescent="0.35">
      <c r="C30" s="42" t="s">
        <v>1831</v>
      </c>
      <c r="D30" s="50">
        <v>46</v>
      </c>
      <c r="F30" s="62" t="s">
        <v>1799</v>
      </c>
    </row>
    <row r="31" spans="3:6" ht="23.25" x14ac:dyDescent="0.35">
      <c r="C31" s="42" t="s">
        <v>1834</v>
      </c>
      <c r="D31" s="50">
        <v>46</v>
      </c>
      <c r="F31" s="62" t="s">
        <v>1802</v>
      </c>
    </row>
    <row r="32" spans="3:6" ht="23.25" x14ac:dyDescent="0.35">
      <c r="C32" s="42" t="s">
        <v>1832</v>
      </c>
      <c r="D32" s="50">
        <v>46</v>
      </c>
      <c r="F32" s="60"/>
    </row>
    <row r="33" spans="3:6" ht="23.25" x14ac:dyDescent="0.35">
      <c r="C33" s="42" t="s">
        <v>1833</v>
      </c>
      <c r="D33" s="50">
        <v>46</v>
      </c>
    </row>
    <row r="34" spans="3:6" ht="23.25" x14ac:dyDescent="0.35">
      <c r="C34" s="42" t="s">
        <v>1839</v>
      </c>
      <c r="D34" s="46">
        <v>1680</v>
      </c>
      <c r="F34" s="62" t="s">
        <v>1835</v>
      </c>
    </row>
    <row r="35" spans="3:6" ht="23.25" x14ac:dyDescent="0.35">
      <c r="C35" s="42" t="s">
        <v>1840</v>
      </c>
      <c r="D35" s="47">
        <v>1215</v>
      </c>
      <c r="F35" s="62" t="s">
        <v>1836</v>
      </c>
    </row>
    <row r="36" spans="3:6" ht="23.25" x14ac:dyDescent="0.35">
      <c r="C36" s="42" t="s">
        <v>1841</v>
      </c>
      <c r="D36" s="47">
        <v>2050</v>
      </c>
      <c r="F36" s="62" t="s">
        <v>1837</v>
      </c>
    </row>
    <row r="37" spans="3:6" ht="23.25" x14ac:dyDescent="0.35">
      <c r="C37" s="42" t="s">
        <v>1856</v>
      </c>
      <c r="D37" s="47">
        <v>1815</v>
      </c>
      <c r="F37" s="62" t="s">
        <v>1838</v>
      </c>
    </row>
    <row r="38" spans="3:6" ht="23.25" x14ac:dyDescent="0.35">
      <c r="C38" s="42" t="s">
        <v>1858</v>
      </c>
      <c r="D38" s="48">
        <v>1732</v>
      </c>
      <c r="F38" s="60" t="s">
        <v>1857</v>
      </c>
    </row>
    <row r="39" spans="3:6" ht="23.25" x14ac:dyDescent="0.35">
      <c r="C39" s="42" t="s">
        <v>1859</v>
      </c>
      <c r="D39" s="66">
        <v>4.0999999999999996</v>
      </c>
      <c r="E39" s="62"/>
      <c r="F39" s="62" t="s">
        <v>1797</v>
      </c>
    </row>
    <row r="40" spans="3:6" ht="23.25" x14ac:dyDescent="0.35">
      <c r="C40" s="42" t="s">
        <v>1860</v>
      </c>
      <c r="D40" s="47">
        <v>83</v>
      </c>
      <c r="E40" s="57" t="s">
        <v>1842</v>
      </c>
      <c r="F40" s="62" t="s">
        <v>1803</v>
      </c>
    </row>
    <row r="41" spans="3:6" ht="23.25" x14ac:dyDescent="0.35">
      <c r="C41" s="42" t="s">
        <v>1861</v>
      </c>
      <c r="D41" s="47">
        <v>125</v>
      </c>
      <c r="E41" s="57" t="s">
        <v>1843</v>
      </c>
      <c r="F41" s="62"/>
    </row>
    <row r="42" spans="3:6" ht="23.25" x14ac:dyDescent="0.35">
      <c r="C42" s="42" t="s">
        <v>1862</v>
      </c>
      <c r="D42" s="47">
        <v>166</v>
      </c>
      <c r="E42" s="57"/>
      <c r="F42" s="62"/>
    </row>
    <row r="43" spans="3:6" ht="23.25" x14ac:dyDescent="0.35">
      <c r="C43" s="42" t="s">
        <v>1863</v>
      </c>
      <c r="D43" s="47">
        <v>262</v>
      </c>
      <c r="E43" s="57" t="s">
        <v>1844</v>
      </c>
      <c r="F43" s="62"/>
    </row>
    <row r="44" spans="3:6" ht="23.25" x14ac:dyDescent="0.35">
      <c r="C44" s="42" t="s">
        <v>1864</v>
      </c>
      <c r="D44" s="47">
        <v>102.5</v>
      </c>
      <c r="E44" s="57" t="s">
        <v>1845</v>
      </c>
      <c r="F44" s="62" t="s">
        <v>1795</v>
      </c>
    </row>
    <row r="45" spans="3:6" ht="23.25" x14ac:dyDescent="0.35">
      <c r="C45" s="42" t="s">
        <v>1865</v>
      </c>
      <c r="D45" s="47">
        <v>154</v>
      </c>
      <c r="E45" s="57" t="s">
        <v>1846</v>
      </c>
      <c r="F45" s="62"/>
    </row>
    <row r="46" spans="3:6" ht="23.25" x14ac:dyDescent="0.35">
      <c r="C46" s="42" t="s">
        <v>1866</v>
      </c>
      <c r="D46" s="47">
        <v>205</v>
      </c>
      <c r="E46" s="57"/>
      <c r="F46" s="62"/>
    </row>
    <row r="47" spans="3:6" ht="23.25" x14ac:dyDescent="0.35">
      <c r="C47" s="42" t="s">
        <v>1867</v>
      </c>
      <c r="D47" s="47">
        <v>220</v>
      </c>
      <c r="E47" s="64" t="s">
        <v>1847</v>
      </c>
      <c r="F47" s="62" t="s">
        <v>1794</v>
      </c>
    </row>
    <row r="48" spans="3:6" ht="23.25" x14ac:dyDescent="0.35">
      <c r="C48" s="43" t="s">
        <v>1787</v>
      </c>
      <c r="D48" s="46">
        <v>160</v>
      </c>
      <c r="E48" s="65" t="s">
        <v>1848</v>
      </c>
      <c r="F48" s="61" t="s">
        <v>1797</v>
      </c>
    </row>
    <row r="49" spans="3:6" ht="23.25" x14ac:dyDescent="0.35">
      <c r="C49" s="43" t="s">
        <v>1868</v>
      </c>
      <c r="D49" s="46">
        <v>34</v>
      </c>
      <c r="E49" s="65" t="s">
        <v>1849</v>
      </c>
      <c r="F49" s="61" t="s">
        <v>1804</v>
      </c>
    </row>
    <row r="50" spans="3:6" ht="23.25" x14ac:dyDescent="0.35">
      <c r="C50" s="43" t="s">
        <v>1869</v>
      </c>
      <c r="D50" s="52">
        <v>58</v>
      </c>
      <c r="E50" s="61" t="s">
        <v>1849</v>
      </c>
      <c r="F50" s="61" t="s">
        <v>1805</v>
      </c>
    </row>
    <row r="51" spans="3:6" ht="23.25" x14ac:dyDescent="0.35">
      <c r="C51" s="42" t="s">
        <v>1788</v>
      </c>
      <c r="D51" s="51">
        <v>840</v>
      </c>
      <c r="E51" s="57" t="s">
        <v>1850</v>
      </c>
      <c r="F51" s="62" t="s">
        <v>1797</v>
      </c>
    </row>
    <row r="52" spans="3:6" ht="23.25" x14ac:dyDescent="0.35">
      <c r="C52" s="43" t="s">
        <v>1789</v>
      </c>
      <c r="D52" s="46">
        <v>110</v>
      </c>
      <c r="E52" s="61" t="s">
        <v>1851</v>
      </c>
      <c r="F52" s="61" t="s">
        <v>1806</v>
      </c>
    </row>
    <row r="53" spans="3:6" ht="23.25" x14ac:dyDescent="0.35">
      <c r="C53" s="43" t="s">
        <v>1870</v>
      </c>
      <c r="D53" s="46">
        <v>60</v>
      </c>
      <c r="E53" s="61" t="s">
        <v>1852</v>
      </c>
      <c r="F53" s="59" t="s">
        <v>1807</v>
      </c>
    </row>
    <row r="54" spans="3:6" ht="23.25" x14ac:dyDescent="0.35">
      <c r="C54" s="43" t="s">
        <v>1790</v>
      </c>
      <c r="D54" s="53">
        <v>45</v>
      </c>
      <c r="E54" s="61" t="s">
        <v>1852</v>
      </c>
      <c r="F54" s="61" t="s">
        <v>1807</v>
      </c>
    </row>
    <row r="55" spans="3:6" ht="23.25" x14ac:dyDescent="0.35">
      <c r="C55" s="43" t="s">
        <v>1791</v>
      </c>
      <c r="D55" s="54">
        <v>720</v>
      </c>
      <c r="E55" s="61" t="s">
        <v>1853</v>
      </c>
      <c r="F55" s="61" t="s">
        <v>1795</v>
      </c>
    </row>
    <row r="56" spans="3:6" ht="23.25" x14ac:dyDescent="0.35">
      <c r="C56" s="42" t="s">
        <v>1791</v>
      </c>
      <c r="D56" s="55">
        <v>360</v>
      </c>
      <c r="E56" s="57" t="s">
        <v>1853</v>
      </c>
      <c r="F56" s="57" t="s">
        <v>1795</v>
      </c>
    </row>
    <row r="57" spans="3:6" ht="23.25" x14ac:dyDescent="0.35">
      <c r="C57" s="45" t="s">
        <v>1792</v>
      </c>
      <c r="D57" s="56">
        <v>44</v>
      </c>
      <c r="E57" s="63" t="s">
        <v>1854</v>
      </c>
      <c r="F57" s="63" t="s">
        <v>1808</v>
      </c>
    </row>
    <row r="58" spans="3:6" ht="23.25" x14ac:dyDescent="0.35">
      <c r="C58" s="43" t="s">
        <v>1871</v>
      </c>
      <c r="D58" s="54">
        <v>2475</v>
      </c>
      <c r="E58" s="61" t="s">
        <v>1852</v>
      </c>
      <c r="F58" s="61" t="s">
        <v>1795</v>
      </c>
    </row>
    <row r="59" spans="3:6" ht="23.25" x14ac:dyDescent="0.35">
      <c r="C59" s="43" t="s">
        <v>1872</v>
      </c>
      <c r="D59" s="54">
        <v>2475</v>
      </c>
      <c r="E59" s="62" t="s">
        <v>1855</v>
      </c>
      <c r="F59" s="57" t="s">
        <v>1797</v>
      </c>
    </row>
    <row r="60" spans="3:6" ht="23.25" x14ac:dyDescent="0.35">
      <c r="C60" s="43" t="s">
        <v>1873</v>
      </c>
      <c r="D60" s="54">
        <v>2475</v>
      </c>
      <c r="E60" s="44"/>
      <c r="F60" s="58" t="s">
        <v>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029-62A0-4630-9AE2-1297909AA1F6}">
  <sheetPr codeName="Sheet5"/>
  <dimension ref="A1:J2"/>
  <sheetViews>
    <sheetView workbookViewId="0">
      <selection activeCell="G9" sqref="G9"/>
    </sheetView>
  </sheetViews>
  <sheetFormatPr defaultRowHeight="15" x14ac:dyDescent="0.25"/>
  <cols>
    <col min="1" max="1" width="18.85546875" bestFit="1" customWidth="1"/>
    <col min="2" max="2" width="14.7109375" bestFit="1" customWidth="1"/>
    <col min="3" max="3" width="14.7109375" customWidth="1"/>
    <col min="4" max="4" width="14.85546875" bestFit="1" customWidth="1"/>
    <col min="5" max="5" width="20.85546875" bestFit="1" customWidth="1"/>
    <col min="6" max="6" width="34.5703125" bestFit="1" customWidth="1"/>
    <col min="7" max="7" width="25.140625" customWidth="1"/>
    <col min="8" max="8" width="19.140625" bestFit="1" customWidth="1"/>
    <col min="9" max="9" width="38.140625" bestFit="1" customWidth="1"/>
    <col min="10" max="10" width="16.28515625" bestFit="1" customWidth="1"/>
  </cols>
  <sheetData>
    <row r="1" spans="1:10" x14ac:dyDescent="0.25">
      <c r="A1" s="107" t="s">
        <v>3407</v>
      </c>
      <c r="B1" s="107" t="s">
        <v>5</v>
      </c>
      <c r="C1" s="107" t="s">
        <v>3422</v>
      </c>
      <c r="D1" s="107" t="s">
        <v>3408</v>
      </c>
      <c r="E1" s="107" t="s">
        <v>3409</v>
      </c>
      <c r="F1" s="107" t="s">
        <v>3410</v>
      </c>
      <c r="G1" s="107" t="s">
        <v>3424</v>
      </c>
      <c r="H1" s="107" t="s">
        <v>4</v>
      </c>
      <c r="I1" s="107" t="s">
        <v>3411</v>
      </c>
      <c r="J1" s="107" t="s">
        <v>21</v>
      </c>
    </row>
    <row r="2" spans="1:10" x14ac:dyDescent="0.25">
      <c r="A2" s="107" t="str">
        <f>RESPALDO!F14</f>
        <v>00443 JAIME NUNO</v>
      </c>
      <c r="B2" s="109" t="str">
        <f>RESPALDO!C13</f>
        <v>250</v>
      </c>
      <c r="C2" s="107" t="str">
        <f>RESPALDO!F15</f>
        <v>MATERIALES</v>
      </c>
      <c r="D2" s="109" t="str">
        <f>RESPALDO!C14</f>
        <v>EM</v>
      </c>
      <c r="E2" s="107" t="str">
        <f>RESPALDO!F4</f>
        <v>JUAN ALEJANDRO CHAVEZ</v>
      </c>
      <c r="F2" s="109" t="str">
        <f>RESPALDO!C42</f>
        <v>06/11/2025</v>
      </c>
      <c r="G2" s="107" t="str">
        <f>RESPALDO!F16</f>
        <v>JAIME NUNO</v>
      </c>
      <c r="H2" s="109" t="str">
        <f>RESPALDO!C15</f>
        <v xml:space="preserve">EMPAQUES </v>
      </c>
      <c r="I2" s="107" t="str">
        <f>RESPALDO!L40</f>
        <v>-</v>
      </c>
      <c r="J2" s="107">
        <f>RESPALDO!I43</f>
        <v>4872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CBA44-EDE2-448E-BAE7-ACBC92F7A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Hoja1</vt:lpstr>
      <vt:lpstr>RESPALDO</vt:lpstr>
      <vt:lpstr>CATALOGO</vt:lpstr>
      <vt:lpstr>Sheet1</vt:lpstr>
      <vt:lpstr>PED-60 CHAVEZ herrajes 00606 EM</vt:lpstr>
      <vt:lpstr>Hoja1!Print_Area</vt:lpstr>
      <vt:lpstr>RESPALDO!Print_Area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e60280</cp:lastModifiedBy>
  <cp:lastPrinted>2025-10-23T18:29:38Z</cp:lastPrinted>
  <dcterms:created xsi:type="dcterms:W3CDTF">2019-02-11T01:43:51Z</dcterms:created>
  <dcterms:modified xsi:type="dcterms:W3CDTF">2025-11-07T17:25:43Z</dcterms:modified>
</cp:coreProperties>
</file>
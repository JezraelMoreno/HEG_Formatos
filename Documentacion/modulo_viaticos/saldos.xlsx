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MIKETUYO\FORMATOS FH MK\"/>
    </mc:Choice>
  </mc:AlternateContent>
  <xr:revisionPtr revIDLastSave="0" documentId="13_ncr:1_{6EF45161-9128-48A3-99E2-42F4A5CA509D}" xr6:coauthVersionLast="47" xr6:coauthVersionMax="47" xr10:uidLastSave="{00000000-0000-0000-0000-000000000000}"/>
  <bookViews>
    <workbookView xWindow="-120" yWindow="-120" windowWidth="38640" windowHeight="15720" tabRatio="888" xr2:uid="{45A3FF6E-8647-4574-BA20-A66A2A4AF8F4}"/>
  </bookViews>
  <sheets>
    <sheet name="ING" sheetId="8" r:id="rId1"/>
    <sheet name="RESUMEN CONTRATISTAS 20-11-2025" sheetId="6" r:id="rId2"/>
    <sheet name="SEMANALES OBRAS 20-11-2025" sheetId="5" r:id="rId3"/>
    <sheet name="SALDOS 04-11-2025" sheetId="4" r:id="rId4"/>
  </sheets>
  <definedNames>
    <definedName name="_xlnm._FilterDatabase" localSheetId="0" hidden="1">ING!$B$9:$G$47</definedName>
    <definedName name="_xlnm._FilterDatabase" localSheetId="1" hidden="1">'RESUMEN CONTRATISTAS 20-11-2025'!$B$9:$J$48</definedName>
    <definedName name="_xlnm._FilterDatabase" localSheetId="2" hidden="1">'SEMANALES OBRAS 20-11-2025'!$B$9:$K$46</definedName>
    <definedName name="_xlnm.Print_Area" localSheetId="0">ING!$B$1:$G$47</definedName>
    <definedName name="_xlnm.Print_Area" localSheetId="1">'RESUMEN CONTRATISTAS 20-11-2025'!$B$1:$J$50</definedName>
    <definedName name="_xlnm.Print_Area" localSheetId="3">'SALDOS 04-11-2025'!$B$1:$M$37</definedName>
    <definedName name="_xlnm.Print_Area" localSheetId="2">'SEMANALES OBRAS 20-11-2025'!$B$1:$K$46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6" l="1"/>
  <c r="B39" i="6"/>
  <c r="B20" i="6"/>
  <c r="B21" i="6"/>
  <c r="B32" i="6"/>
  <c r="B33" i="6"/>
  <c r="B34" i="6"/>
  <c r="B35" i="6"/>
  <c r="B13" i="5" l="1"/>
  <c r="H13" i="5"/>
  <c r="I44" i="6"/>
  <c r="B44" i="6"/>
  <c r="I14" i="6" l="1"/>
  <c r="I13" i="6"/>
  <c r="B13" i="6" l="1"/>
  <c r="H18" i="5" l="1"/>
  <c r="K18" i="5" s="1"/>
  <c r="H12" i="5"/>
  <c r="H14" i="5"/>
  <c r="H15" i="5"/>
  <c r="H16" i="5"/>
  <c r="H17" i="5"/>
  <c r="H19" i="5"/>
  <c r="K19" i="5" s="1"/>
  <c r="H20" i="5"/>
  <c r="K20" i="5" s="1"/>
  <c r="H21" i="5"/>
  <c r="H22" i="5"/>
  <c r="K22" i="5" s="1"/>
  <c r="H23" i="5"/>
  <c r="K23" i="5" s="1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K21" i="5"/>
  <c r="I23" i="6" l="1"/>
  <c r="I22" i="6"/>
  <c r="B23" i="6"/>
  <c r="B22" i="6"/>
  <c r="I18" i="6"/>
  <c r="B18" i="6"/>
  <c r="I15" i="6"/>
  <c r="B15" i="6"/>
  <c r="K16" i="5"/>
  <c r="K17" i="5"/>
  <c r="B17" i="5"/>
  <c r="B16" i="5"/>
  <c r="B38" i="6"/>
  <c r="I38" i="6"/>
  <c r="K26" i="5" l="1"/>
  <c r="B26" i="5"/>
  <c r="I29" i="6" l="1"/>
  <c r="B29" i="6"/>
  <c r="K32" i="5" l="1"/>
  <c r="B32" i="5"/>
  <c r="B19" i="5"/>
  <c r="B45" i="6"/>
  <c r="I34" i="6"/>
  <c r="I16" i="6"/>
  <c r="I17" i="6"/>
  <c r="B17" i="6"/>
  <c r="B16" i="6"/>
  <c r="B14" i="6"/>
  <c r="I45" i="6"/>
  <c r="B11" i="6" l="1"/>
  <c r="B12" i="6"/>
  <c r="B19" i="6"/>
  <c r="B24" i="6"/>
  <c r="B25" i="6"/>
  <c r="B26" i="6"/>
  <c r="B27" i="6"/>
  <c r="B28" i="6"/>
  <c r="B30" i="6"/>
  <c r="B31" i="6"/>
  <c r="B36" i="6"/>
  <c r="B37" i="6"/>
  <c r="B40" i="6"/>
  <c r="B41" i="6"/>
  <c r="B42" i="6"/>
  <c r="B43" i="6"/>
  <c r="B46" i="6"/>
  <c r="B47" i="6"/>
  <c r="B10" i="6"/>
  <c r="L27" i="4" l="1"/>
  <c r="I27" i="4"/>
  <c r="F27" i="4"/>
  <c r="K29" i="5"/>
  <c r="B29" i="5"/>
  <c r="B21" i="5"/>
  <c r="M27" i="4" l="1"/>
  <c r="D46" i="5"/>
  <c r="F23" i="4" l="1"/>
  <c r="L23" i="4" l="1"/>
  <c r="I23" i="4"/>
  <c r="M23" i="4" s="1"/>
  <c r="I43" i="6" l="1"/>
  <c r="K15" i="5" l="1"/>
  <c r="K27" i="5"/>
  <c r="K28" i="5"/>
  <c r="K30" i="5"/>
  <c r="K31" i="5"/>
  <c r="K33" i="5"/>
  <c r="H39" i="5"/>
  <c r="K39" i="5" s="1"/>
  <c r="H40" i="5"/>
  <c r="H41" i="5"/>
  <c r="K41" i="5" s="1"/>
  <c r="H42" i="5"/>
  <c r="H43" i="5"/>
  <c r="K43" i="5" s="1"/>
  <c r="H44" i="5"/>
  <c r="B43" i="5"/>
  <c r="B41" i="5"/>
  <c r="B18" i="5"/>
  <c r="B15" i="5"/>
  <c r="L30" i="4" l="1"/>
  <c r="I30" i="4"/>
  <c r="F30" i="4"/>
  <c r="L15" i="4"/>
  <c r="I15" i="4"/>
  <c r="F15" i="4"/>
  <c r="L12" i="4"/>
  <c r="I12" i="4"/>
  <c r="F12" i="4"/>
  <c r="M15" i="4" l="1"/>
  <c r="M30" i="4"/>
  <c r="M12" i="4"/>
  <c r="K38" i="5" l="1"/>
  <c r="B38" i="5"/>
  <c r="I24" i="6" l="1"/>
  <c r="E24" i="4" l="1"/>
  <c r="L10" i="4"/>
  <c r="L24" i="4"/>
  <c r="B30" i="5" l="1"/>
  <c r="H11" i="5" l="1"/>
  <c r="K11" i="5" s="1"/>
  <c r="B11" i="5"/>
  <c r="I24" i="4" l="1"/>
  <c r="F24" i="4"/>
  <c r="M24" i="4" l="1"/>
  <c r="B40" i="5"/>
  <c r="K40" i="5"/>
  <c r="B42" i="5"/>
  <c r="K42" i="5"/>
  <c r="B44" i="5"/>
  <c r="K44" i="5"/>
  <c r="B45" i="5"/>
  <c r="H45" i="5"/>
  <c r="K45" i="5" s="1"/>
  <c r="K24" i="5"/>
  <c r="K25" i="5"/>
  <c r="K34" i="5"/>
  <c r="K35" i="5"/>
  <c r="K36" i="5"/>
  <c r="K37" i="5"/>
  <c r="K12" i="5"/>
  <c r="K14" i="5"/>
  <c r="B20" i="5"/>
  <c r="B22" i="5"/>
  <c r="B23" i="5"/>
  <c r="B24" i="5"/>
  <c r="B25" i="5"/>
  <c r="B14" i="5"/>
  <c r="I12" i="6" l="1"/>
  <c r="I19" i="6"/>
  <c r="I21" i="6"/>
  <c r="I25" i="6"/>
  <c r="I26" i="6"/>
  <c r="I27" i="6"/>
  <c r="I28" i="6"/>
  <c r="I30" i="6"/>
  <c r="I31" i="6"/>
  <c r="I33" i="6"/>
  <c r="I10" i="6" l="1"/>
  <c r="F9" i="4" l="1"/>
  <c r="B36" i="5" l="1"/>
  <c r="I11" i="6"/>
  <c r="B34" i="5" l="1"/>
  <c r="B27" i="5"/>
  <c r="H48" i="6" l="1"/>
  <c r="F48" i="6"/>
  <c r="G48" i="6"/>
  <c r="E48" i="6"/>
  <c r="I47" i="6"/>
  <c r="I46" i="6"/>
  <c r="I42" i="6"/>
  <c r="I41" i="6"/>
  <c r="I40" i="6"/>
  <c r="I37" i="6"/>
  <c r="I36" i="6"/>
  <c r="J46" i="5"/>
  <c r="G46" i="5"/>
  <c r="F46" i="5"/>
  <c r="E46" i="5"/>
  <c r="B39" i="5"/>
  <c r="B37" i="5"/>
  <c r="B35" i="5"/>
  <c r="B33" i="5"/>
  <c r="B31" i="5"/>
  <c r="B28" i="5"/>
  <c r="I46" i="5"/>
  <c r="B12" i="5"/>
  <c r="H10" i="5"/>
  <c r="B10" i="5"/>
  <c r="L31" i="4"/>
  <c r="I31" i="4"/>
  <c r="F31" i="4"/>
  <c r="L29" i="4"/>
  <c r="I29" i="4"/>
  <c r="F29" i="4"/>
  <c r="L28" i="4"/>
  <c r="I28" i="4"/>
  <c r="F28" i="4"/>
  <c r="L26" i="4"/>
  <c r="I26" i="4"/>
  <c r="F26" i="4"/>
  <c r="L25" i="4"/>
  <c r="I25" i="4"/>
  <c r="F25" i="4"/>
  <c r="L22" i="4"/>
  <c r="I22" i="4"/>
  <c r="F22" i="4"/>
  <c r="L21" i="4"/>
  <c r="I21" i="4"/>
  <c r="F21" i="4"/>
  <c r="L20" i="4"/>
  <c r="I20" i="4"/>
  <c r="F20" i="4"/>
  <c r="L19" i="4"/>
  <c r="I19" i="4"/>
  <c r="F19" i="4"/>
  <c r="L18" i="4"/>
  <c r="I18" i="4"/>
  <c r="F18" i="4"/>
  <c r="L17" i="4"/>
  <c r="I17" i="4"/>
  <c r="F17" i="4"/>
  <c r="L16" i="4"/>
  <c r="I16" i="4"/>
  <c r="F16" i="4"/>
  <c r="L14" i="4"/>
  <c r="I14" i="4"/>
  <c r="F14" i="4"/>
  <c r="L13" i="4"/>
  <c r="I13" i="4"/>
  <c r="F13" i="4"/>
  <c r="L11" i="4"/>
  <c r="I11" i="4"/>
  <c r="F11" i="4"/>
  <c r="I10" i="4"/>
  <c r="F10" i="4"/>
  <c r="L9" i="4"/>
  <c r="I9" i="4"/>
  <c r="B27" i="4" l="1"/>
  <c r="B23" i="4"/>
  <c r="B30" i="4"/>
  <c r="B12" i="4"/>
  <c r="B15" i="4"/>
  <c r="B24" i="4"/>
  <c r="M26" i="4"/>
  <c r="M9" i="4"/>
  <c r="M31" i="4"/>
  <c r="M18" i="4"/>
  <c r="M22" i="4"/>
  <c r="M17" i="4"/>
  <c r="M20" i="4"/>
  <c r="M28" i="4"/>
  <c r="M25" i="4"/>
  <c r="M29" i="4"/>
  <c r="M16" i="4"/>
  <c r="M21" i="4"/>
  <c r="M14" i="4"/>
  <c r="M13" i="4"/>
  <c r="M10" i="4"/>
  <c r="M19" i="4"/>
  <c r="B21" i="4"/>
  <c r="M11" i="4"/>
  <c r="B26" i="4"/>
  <c r="H46" i="5"/>
  <c r="I48" i="6"/>
  <c r="K10" i="5"/>
  <c r="B10" i="4"/>
  <c r="B18" i="4"/>
  <c r="B29" i="4"/>
  <c r="B25" i="4"/>
  <c r="B13" i="4"/>
  <c r="B20" i="4"/>
  <c r="B9" i="4"/>
  <c r="B17" i="4"/>
  <c r="B28" i="4"/>
  <c r="B14" i="4"/>
  <c r="B22" i="4"/>
  <c r="B11" i="4"/>
  <c r="B19" i="4"/>
  <c r="B31" i="4"/>
  <c r="B16" i="4"/>
  <c r="K46" i="5" l="1"/>
</calcChain>
</file>

<file path=xl/sharedStrings.xml><?xml version="1.0" encoding="utf-8"?>
<sst xmlns="http://schemas.openxmlformats.org/spreadsheetml/2006/main" count="217" uniqueCount="121">
  <si>
    <t xml:space="preserve">CONCEPTO: </t>
  </si>
  <si>
    <t>PERIODO:</t>
  </si>
  <si>
    <t>FECHA:</t>
  </si>
  <si>
    <t>N°</t>
  </si>
  <si>
    <t>PROYECTO</t>
  </si>
  <si>
    <t>SUMA</t>
  </si>
  <si>
    <t>MANO DE OBRA</t>
  </si>
  <si>
    <t>VIATICOS</t>
  </si>
  <si>
    <t>FLETES</t>
  </si>
  <si>
    <t>AMORES 619</t>
  </si>
  <si>
    <t>BAHLAY 2024</t>
  </si>
  <si>
    <t>BEITI</t>
  </si>
  <si>
    <t>COPACABANA ACAPULCO</t>
  </si>
  <si>
    <t>EMPORIO ACAPULCO</t>
  </si>
  <si>
    <t>GRAND HYATT CANCUN</t>
  </si>
  <si>
    <t>JAIME NUNO</t>
  </si>
  <si>
    <t>LANDMARK COMERCIO</t>
  </si>
  <si>
    <t>LANDMARK RESIDENCIAL</t>
  </si>
  <si>
    <t>LANDMARK TIJUANA INTERIORES</t>
  </si>
  <si>
    <t>LANDMARK TIJUANA RESIDENCIAL</t>
  </si>
  <si>
    <t>MARIANO ESCOBEDO 350</t>
  </si>
  <si>
    <t xml:space="preserve">NAARA </t>
  </si>
  <si>
    <t>NUA INTERLOMAS FASE III, IV, V Y AMENIDADES</t>
  </si>
  <si>
    <t>OCEAN CLUB</t>
  </si>
  <si>
    <t>REFORMA 445</t>
  </si>
  <si>
    <t>VILLAS KANAI 2025</t>
  </si>
  <si>
    <t>FORMULO:</t>
  </si>
  <si>
    <t>MIGUEL ANGEL LOPEZ</t>
  </si>
  <si>
    <t>PARALLEL HOP</t>
  </si>
  <si>
    <t>COMPAÑÍA:</t>
  </si>
  <si>
    <t>HEG DISEÑO E INSTALACIÓN S.A. DE C.V.</t>
  </si>
  <si>
    <t>OPERARIOS</t>
  </si>
  <si>
    <t>VIATICOS / TRANSPORTE</t>
  </si>
  <si>
    <t>MAQUILADORES / CALCULISTAS</t>
  </si>
  <si>
    <t>ESTIMADO</t>
  </si>
  <si>
    <t xml:space="preserve">LISTA DE RAYA </t>
  </si>
  <si>
    <t xml:space="preserve">DIFERENCIA DESTAJO </t>
  </si>
  <si>
    <t xml:space="preserve">JAIME NUNO </t>
  </si>
  <si>
    <t xml:space="preserve">LANDMARK RESIDENCIAL </t>
  </si>
  <si>
    <t>NAARA</t>
  </si>
  <si>
    <t>NUA INTERLOMAS III Y IV</t>
  </si>
  <si>
    <t>TLATILCO</t>
  </si>
  <si>
    <t>VOLCAN 150 2024</t>
  </si>
  <si>
    <t>CABO</t>
  </si>
  <si>
    <t>DESTAJO</t>
  </si>
  <si>
    <t>DIFERENCIA DESTAJO</t>
  </si>
  <si>
    <t>FRANCISCO MONDRAGON CHIRINO</t>
  </si>
  <si>
    <t>RODOLFO DOMINGUEZ CRUZ</t>
  </si>
  <si>
    <t xml:space="preserve">JOSE VILLA MALDONADO </t>
  </si>
  <si>
    <t>MAURICIO ARELLANES SANCHEZ</t>
  </si>
  <si>
    <t xml:space="preserve">EDGAR ESPINOZA ROMERO </t>
  </si>
  <si>
    <t>MIGUEL ANTONIO CARRASCO</t>
  </si>
  <si>
    <t>ADAN CARLOS RAMIREZ MARTINEZ</t>
  </si>
  <si>
    <t>GUMARO RODRIGUEZ ARREOLA</t>
  </si>
  <si>
    <t xml:space="preserve">DANIEL GONZALEZ ROJAS </t>
  </si>
  <si>
    <t>ANGEL AVILA</t>
  </si>
  <si>
    <t>ARTURO SILVA GONZALEZ</t>
  </si>
  <si>
    <t>ERICK SILVA APARICIO</t>
  </si>
  <si>
    <t>FERMIN MENOCAL CAMPOS</t>
  </si>
  <si>
    <t>SANDRO HOYOS BURGOS</t>
  </si>
  <si>
    <t>MANIOBRISTRAS</t>
  </si>
  <si>
    <t>DIEGO ARELLANEZ SANCHEZ</t>
  </si>
  <si>
    <t xml:space="preserve">RODOLFO DOMINGUEZ RANGEL </t>
  </si>
  <si>
    <t xml:space="preserve">RUBEN NAVARRO PEREZ </t>
  </si>
  <si>
    <t>MIGUEL TREJO CABRAL</t>
  </si>
  <si>
    <t>EROGADO</t>
  </si>
  <si>
    <t>POR EROGAR</t>
  </si>
  <si>
    <t>TOTAL PAGADO</t>
  </si>
  <si>
    <t xml:space="preserve">IMPORTE PAGADO </t>
  </si>
  <si>
    <t>PRESUPUESTO</t>
  </si>
  <si>
    <t>TOTAL POR EROGAR</t>
  </si>
  <si>
    <t>CONCEPTO:</t>
  </si>
  <si>
    <t>PAGOS SEMANALES POR OBRA</t>
  </si>
  <si>
    <t>HEG DISEÑO E INSTALACION S.A. DE C.V.</t>
  </si>
  <si>
    <t>SALDOS MANO DE OBRA, VIATICOS Y FLETES</t>
  </si>
  <si>
    <t>RESUMEN CONTRATISTAS</t>
  </si>
  <si>
    <t>BALANCE</t>
  </si>
  <si>
    <t>ACUMULADO</t>
  </si>
  <si>
    <t xml:space="preserve">MANO DE OBRA </t>
  </si>
  <si>
    <t>TORRE VIRREYES AUDITORIO</t>
  </si>
  <si>
    <t>TORRE CHAPULTEPEC</t>
  </si>
  <si>
    <t>PARALLEL 2025</t>
  </si>
  <si>
    <t>TAXCO CUERNAVACA</t>
  </si>
  <si>
    <t>PUERTA POLANCO 2025</t>
  </si>
  <si>
    <t xml:space="preserve">CDI BEITI </t>
  </si>
  <si>
    <t>CDI BEITI</t>
  </si>
  <si>
    <t>MOSO X-TREME</t>
  </si>
  <si>
    <t>ALTAIRE II DEPTO 2803</t>
  </si>
  <si>
    <t>MONTE AZUL 2025</t>
  </si>
  <si>
    <t>ST REGIS PINTURA</t>
  </si>
  <si>
    <t>CONSTITUYENTES 7</t>
  </si>
  <si>
    <t>EMPORIO TORRE RANCHO</t>
  </si>
  <si>
    <t>TORRE BOSQUES</t>
  </si>
  <si>
    <t>TORRE REFORMA MANTENIMIENTO</t>
  </si>
  <si>
    <t>MONTE AZUL</t>
  </si>
  <si>
    <t>FAIRMONT GYM</t>
  </si>
  <si>
    <t>FLOW 2025</t>
  </si>
  <si>
    <t>MONTES URALES 2025</t>
  </si>
  <si>
    <t>NUA INTERLOMAS DETALLADO CANCELERIA FASE II</t>
  </si>
  <si>
    <t>MARTIN CORDERO JUAREZ</t>
  </si>
  <si>
    <t>ACTUAL</t>
  </si>
  <si>
    <t>LIMPIEZA CANCELERIA</t>
  </si>
  <si>
    <t xml:space="preserve"> </t>
  </si>
  <si>
    <t>FRANCISCO JESUS CHAGOYA BALBUENA</t>
  </si>
  <si>
    <t>FLOW EXPLOSION</t>
  </si>
  <si>
    <t>POPOCATEPETL 2025</t>
  </si>
  <si>
    <t>PROYECCION</t>
  </si>
  <si>
    <t>RENDIMIENTO</t>
  </si>
  <si>
    <t>COSTAVENTURA GYM</t>
  </si>
  <si>
    <t>NAARA PISO 2</t>
  </si>
  <si>
    <t>DREAMS ACAPULCO</t>
  </si>
  <si>
    <t>EMPORIO TORRE RANCHO FASE I</t>
  </si>
  <si>
    <t>JULIO CESAR MORALES TORIS</t>
  </si>
  <si>
    <t>CASA BOSQUES DE OLMOS</t>
  </si>
  <si>
    <t>CHRISTIAN NAVARRO REYES</t>
  </si>
  <si>
    <t>SEMANA DEL 17 AL 22 DE NOVIEMBRE 2025</t>
  </si>
  <si>
    <t>20 DE NOVIEMBRE 2025</t>
  </si>
  <si>
    <t>SEMANA DEL 01 AL 06 DE DICIEMBRE 2025</t>
  </si>
  <si>
    <t>04 DE DICIEMBRE 2025</t>
  </si>
  <si>
    <t>SEMANA DEL 08 AL 13 DE DICIEMBRE 2025</t>
  </si>
  <si>
    <t>11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</si>
</sst>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[Red]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/>
    <xf numFmtId="0" fontId="8" fillId="0" borderId="11" xfId="0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34" xfId="0" applyFont="1" applyBorder="1" applyAlignment="1">
      <alignment horizontal="right" vertical="center"/>
    </xf>
    <xf numFmtId="164" fontId="4" fillId="0" borderId="36" xfId="0" applyNumberFormat="1" applyFont="1" applyBorder="1" applyAlignment="1">
      <alignment vertical="center"/>
    </xf>
    <xf numFmtId="164" fontId="4" fillId="0" borderId="37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44" fontId="8" fillId="0" borderId="0" xfId="1" applyFont="1" applyAlignment="1">
      <alignment horizontal="center"/>
    </xf>
    <xf numFmtId="44" fontId="8" fillId="0" borderId="0" xfId="1" applyFont="1"/>
    <xf numFmtId="0" fontId="8" fillId="0" borderId="0" xfId="0" applyFont="1" applyAlignment="1">
      <alignment horizontal="left"/>
    </xf>
    <xf numFmtId="44" fontId="8" fillId="0" borderId="0" xfId="0" applyNumberFormat="1" applyFont="1"/>
    <xf numFmtId="0" fontId="3" fillId="0" borderId="39" xfId="0" applyFont="1" applyBorder="1"/>
    <xf numFmtId="0" fontId="4" fillId="0" borderId="37" xfId="0" applyFont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4" fontId="4" fillId="0" borderId="40" xfId="0" applyNumberFormat="1" applyFont="1" applyBorder="1" applyAlignment="1">
      <alignment vertical="center"/>
    </xf>
    <xf numFmtId="0" fontId="5" fillId="2" borderId="51" xfId="0" applyFont="1" applyFill="1" applyBorder="1" applyAlignment="1">
      <alignment vertical="center"/>
    </xf>
    <xf numFmtId="0" fontId="8" fillId="0" borderId="4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vertical="center"/>
    </xf>
    <xf numFmtId="164" fontId="4" fillId="0" borderId="35" xfId="0" applyNumberFormat="1" applyFont="1" applyBorder="1" applyAlignment="1">
      <alignment vertical="center"/>
    </xf>
    <xf numFmtId="0" fontId="5" fillId="2" borderId="39" xfId="0" applyFont="1" applyFill="1" applyBorder="1" applyAlignment="1">
      <alignment horizontal="center" vertical="center"/>
    </xf>
    <xf numFmtId="164" fontId="4" fillId="0" borderId="43" xfId="0" applyNumberFormat="1" applyFont="1" applyBorder="1" applyAlignment="1">
      <alignment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64" fontId="4" fillId="0" borderId="39" xfId="0" applyNumberFormat="1" applyFont="1" applyBorder="1" applyAlignment="1">
      <alignment vertical="center"/>
    </xf>
    <xf numFmtId="164" fontId="3" fillId="0" borderId="47" xfId="0" applyNumberFormat="1" applyFont="1" applyBorder="1" applyAlignment="1">
      <alignment horizontal="center" vertical="center"/>
    </xf>
    <xf numFmtId="164" fontId="8" fillId="0" borderId="45" xfId="0" applyNumberFormat="1" applyFont="1" applyBorder="1" applyAlignment="1">
      <alignment horizontal="center" vertical="center"/>
    </xf>
    <xf numFmtId="164" fontId="8" fillId="0" borderId="33" xfId="0" applyNumberFormat="1" applyFont="1" applyBorder="1" applyAlignment="1">
      <alignment horizontal="center" vertical="center"/>
    </xf>
    <xf numFmtId="164" fontId="3" fillId="0" borderId="53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4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44" fontId="11" fillId="0" borderId="0" xfId="1" applyFont="1"/>
    <xf numFmtId="14" fontId="12" fillId="0" borderId="0" xfId="0" applyNumberFormat="1" applyFont="1"/>
    <xf numFmtId="0" fontId="12" fillId="2" borderId="34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3" fillId="0" borderId="8" xfId="1" applyNumberFormat="1" applyFont="1" applyFill="1" applyBorder="1" applyAlignment="1">
      <alignment horizontal="right" vertical="center"/>
    </xf>
    <xf numFmtId="164" fontId="13" fillId="0" borderId="2" xfId="1" applyNumberFormat="1" applyFont="1" applyFill="1" applyBorder="1" applyAlignment="1">
      <alignment horizontal="right" vertical="center"/>
    </xf>
    <xf numFmtId="164" fontId="13" fillId="0" borderId="18" xfId="1" applyNumberFormat="1" applyFont="1" applyFill="1" applyBorder="1" applyAlignment="1">
      <alignment horizontal="right" vertical="center"/>
    </xf>
    <xf numFmtId="164" fontId="13" fillId="0" borderId="4" xfId="1" applyNumberFormat="1" applyFont="1" applyFill="1" applyBorder="1" applyAlignment="1">
      <alignment horizontal="right" vertical="center"/>
    </xf>
    <xf numFmtId="164" fontId="13" fillId="0" borderId="3" xfId="1" applyNumberFormat="1" applyFont="1" applyFill="1" applyBorder="1" applyAlignment="1">
      <alignment horizontal="right" vertical="center"/>
    </xf>
    <xf numFmtId="164" fontId="13" fillId="0" borderId="9" xfId="1" applyNumberFormat="1" applyFont="1" applyFill="1" applyBorder="1" applyAlignment="1">
      <alignment horizontal="right" vertical="center"/>
    </xf>
    <xf numFmtId="164" fontId="13" fillId="0" borderId="10" xfId="1" applyNumberFormat="1" applyFont="1" applyFill="1" applyBorder="1" applyAlignment="1">
      <alignment horizontal="right" vertical="center"/>
    </xf>
    <xf numFmtId="164" fontId="13" fillId="0" borderId="12" xfId="1" applyNumberFormat="1" applyFont="1" applyFill="1" applyBorder="1" applyAlignment="1">
      <alignment horizontal="right" vertical="center"/>
    </xf>
    <xf numFmtId="164" fontId="13" fillId="0" borderId="49" xfId="1" applyNumberFormat="1" applyFont="1" applyFill="1" applyBorder="1" applyAlignment="1">
      <alignment horizontal="right" vertical="center"/>
    </xf>
    <xf numFmtId="164" fontId="13" fillId="0" borderId="29" xfId="1" applyNumberFormat="1" applyFont="1" applyFill="1" applyBorder="1" applyAlignment="1">
      <alignment horizontal="right" vertical="center"/>
    </xf>
    <xf numFmtId="164" fontId="13" fillId="0" borderId="30" xfId="1" applyNumberFormat="1" applyFont="1" applyFill="1" applyBorder="1" applyAlignment="1">
      <alignment horizontal="right" vertical="center"/>
    </xf>
    <xf numFmtId="164" fontId="13" fillId="0" borderId="47" xfId="1" applyNumberFormat="1" applyFont="1" applyFill="1" applyBorder="1" applyAlignment="1">
      <alignment horizontal="right" vertical="center"/>
    </xf>
    <xf numFmtId="164" fontId="13" fillId="0" borderId="13" xfId="1" applyNumberFormat="1" applyFont="1" applyFill="1" applyBorder="1" applyAlignment="1">
      <alignment horizontal="right" vertical="center"/>
    </xf>
    <xf numFmtId="164" fontId="13" fillId="0" borderId="14" xfId="1" applyNumberFormat="1" applyFont="1" applyFill="1" applyBorder="1" applyAlignment="1">
      <alignment horizontal="right" vertic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/>
    <xf numFmtId="0" fontId="11" fillId="0" borderId="20" xfId="0" applyFont="1" applyBorder="1"/>
    <xf numFmtId="0" fontId="11" fillId="0" borderId="21" xfId="0" applyFont="1" applyBorder="1"/>
    <xf numFmtId="164" fontId="13" fillId="0" borderId="22" xfId="1" applyNumberFormat="1" applyFont="1" applyFill="1" applyBorder="1" applyAlignment="1">
      <alignment horizontal="right" vertical="center"/>
    </xf>
    <xf numFmtId="164" fontId="13" fillId="0" borderId="50" xfId="1" applyNumberFormat="1" applyFont="1" applyFill="1" applyBorder="1" applyAlignment="1">
      <alignment horizontal="right" vertical="center"/>
    </xf>
    <xf numFmtId="164" fontId="13" fillId="0" borderId="21" xfId="1" applyNumberFormat="1" applyFont="1" applyFill="1" applyBorder="1" applyAlignment="1">
      <alignment horizontal="right" vertical="center"/>
    </xf>
    <xf numFmtId="164" fontId="13" fillId="0" borderId="23" xfId="1" applyNumberFormat="1" applyFont="1" applyFill="1" applyBorder="1" applyAlignment="1">
      <alignment horizontal="right" vertical="center"/>
    </xf>
    <xf numFmtId="164" fontId="13" fillId="0" borderId="48" xfId="1" applyNumberFormat="1" applyFont="1" applyFill="1" applyBorder="1" applyAlignment="1">
      <alignment horizontal="right" vertical="center"/>
    </xf>
    <xf numFmtId="164" fontId="13" fillId="0" borderId="17" xfId="1" applyNumberFormat="1" applyFont="1" applyFill="1" applyBorder="1" applyAlignment="1">
      <alignment horizontal="right" vertical="center"/>
    </xf>
    <xf numFmtId="44" fontId="11" fillId="0" borderId="5" xfId="1" applyFont="1" applyBorder="1"/>
    <xf numFmtId="44" fontId="12" fillId="0" borderId="0" xfId="1" applyFont="1" applyBorder="1" applyAlignment="1">
      <alignment horizontal="right"/>
    </xf>
    <xf numFmtId="164" fontId="12" fillId="0" borderId="0" xfId="0" applyNumberFormat="1" applyFont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4" fontId="11" fillId="0" borderId="7" xfId="0" applyNumberFormat="1" applyFont="1" applyBorder="1" applyAlignment="1">
      <alignment vertical="center"/>
    </xf>
    <xf numFmtId="164" fontId="11" fillId="0" borderId="18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164" fontId="11" fillId="0" borderId="11" xfId="0" applyNumberFormat="1" applyFont="1" applyBorder="1" applyAlignment="1">
      <alignment vertical="center"/>
    </xf>
    <xf numFmtId="164" fontId="11" fillId="0" borderId="29" xfId="0" applyNumberFormat="1" applyFont="1" applyBorder="1" applyAlignment="1">
      <alignment vertical="center"/>
    </xf>
    <xf numFmtId="164" fontId="8" fillId="0" borderId="30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38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5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8" fillId="0" borderId="47" xfId="0" applyNumberFormat="1" applyFont="1" applyBorder="1" applyAlignment="1">
      <alignment horizontal="center" vertical="center" wrapText="1"/>
    </xf>
    <xf numFmtId="164" fontId="3" fillId="0" borderId="45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2" borderId="21" xfId="0" applyFont="1" applyFill="1" applyBorder="1" applyAlignment="1">
      <alignment horizontal="center" vertical="center"/>
    </xf>
    <xf numFmtId="0" fontId="17" fillId="0" borderId="0" xfId="0" applyFont="1"/>
    <xf numFmtId="0" fontId="17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39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34" xfId="0" applyFont="1" applyBorder="1" applyAlignment="1">
      <alignment horizontal="right" vertical="center"/>
    </xf>
    <xf numFmtId="0" fontId="15" fillId="0" borderId="4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8" fillId="0" borderId="49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164" fontId="3" fillId="0" borderId="58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164" fontId="17" fillId="0" borderId="59" xfId="0" applyNumberFormat="1" applyFont="1" applyBorder="1" applyAlignment="1">
      <alignment horizontal="center" vertical="center"/>
    </xf>
    <xf numFmtId="164" fontId="15" fillId="0" borderId="37" xfId="0" applyNumberFormat="1" applyFont="1" applyBorder="1" applyAlignment="1">
      <alignment vertical="center"/>
    </xf>
    <xf numFmtId="164" fontId="3" fillId="0" borderId="13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6F36-39D3-414F-B1F7-355AEED25D23}">
  <sheetPr>
    <pageSetUpPr fitToPage="1"/>
  </sheetPr>
  <dimension ref="A1:G246"/>
  <sheetViews>
    <sheetView tabSelected="1" view="pageBreakPreview" zoomScale="50" zoomScaleNormal="40" zoomScaleSheetLayoutView="50" workbookViewId="0">
      <selection activeCell="E16" sqref="E16"/>
    </sheetView>
  </sheetViews>
  <sheetFormatPr baseColWidth="10" defaultColWidth="11.42578125" defaultRowHeight="25.5" x14ac:dyDescent="0.35"/>
  <cols>
    <col min="1" max="1" width="11.42578125" style="125"/>
    <col min="2" max="2" width="8" style="125" customWidth="1"/>
    <col min="3" max="3" width="61.5703125" style="125" customWidth="1"/>
    <col min="4" max="4" width="26.85546875" style="125" customWidth="1"/>
    <col min="5" max="5" width="59.5703125" style="125" bestFit="1" customWidth="1"/>
    <col min="6" max="6" width="59.5703125" style="125" customWidth="1"/>
    <col min="7" max="7" width="34.42578125" style="126" customWidth="1"/>
    <col min="8" max="16384" width="11.42578125" style="125"/>
  </cols>
  <sheetData>
    <row r="1" spans="1:7" ht="27.95" customHeight="1" x14ac:dyDescent="0.35">
      <c r="A1" s="124"/>
    </row>
    <row r="2" spans="1:7" ht="39.950000000000003" customHeight="1" x14ac:dyDescent="0.4">
      <c r="A2" s="124"/>
      <c r="D2" s="127" t="s">
        <v>29</v>
      </c>
      <c r="E2" s="128" t="s">
        <v>30</v>
      </c>
    </row>
    <row r="3" spans="1:7" ht="39.950000000000003" customHeight="1" x14ac:dyDescent="0.4">
      <c r="A3" s="124"/>
      <c r="D3" s="127" t="s">
        <v>71</v>
      </c>
      <c r="E3" s="128" t="s">
        <v>75</v>
      </c>
    </row>
    <row r="4" spans="1:7" ht="39.950000000000003" customHeight="1" x14ac:dyDescent="0.4">
      <c r="A4" s="124"/>
      <c r="D4" s="127" t="s">
        <v>1</v>
      </c>
      <c r="E4" s="128" t="s">
        <v>119</v>
      </c>
    </row>
    <row r="5" spans="1:7" ht="39.950000000000003" customHeight="1" x14ac:dyDescent="0.4">
      <c r="A5" s="124"/>
      <c r="D5" s="127" t="s">
        <v>2</v>
      </c>
      <c r="E5" s="128" t="s">
        <v>120</v>
      </c>
    </row>
    <row r="6" spans="1:7" ht="39.950000000000003" customHeight="1" thickBot="1" x14ac:dyDescent="0.4">
      <c r="A6" s="124"/>
    </row>
    <row r="7" spans="1:7" ht="39.950000000000003" customHeight="1" x14ac:dyDescent="0.35">
      <c r="A7" s="124"/>
      <c r="B7" s="154" t="s">
        <v>3</v>
      </c>
      <c r="C7" s="158" t="s">
        <v>43</v>
      </c>
      <c r="D7" s="156" t="s">
        <v>31</v>
      </c>
      <c r="E7" s="156" t="s">
        <v>4</v>
      </c>
      <c r="F7" s="157"/>
      <c r="G7" s="152" t="s">
        <v>107</v>
      </c>
    </row>
    <row r="8" spans="1:7" ht="39.950000000000003" customHeight="1" thickBot="1" x14ac:dyDescent="0.4">
      <c r="A8" s="124"/>
      <c r="B8" s="155"/>
      <c r="C8" s="159"/>
      <c r="D8" s="160"/>
      <c r="E8" s="129" t="s">
        <v>100</v>
      </c>
      <c r="F8" s="129" t="s">
        <v>106</v>
      </c>
      <c r="G8" s="153"/>
    </row>
    <row r="9" spans="1:7" s="130" customFormat="1" ht="39.950000000000003" customHeight="1" x14ac:dyDescent="0.35">
      <c r="B9" s="131">
        <v>1</v>
      </c>
      <c r="C9" s="132"/>
      <c r="D9" s="133"/>
      <c r="E9" s="132"/>
      <c r="F9" s="132"/>
      <c r="G9" s="147"/>
    </row>
    <row r="10" spans="1:7" s="130" customFormat="1" ht="39.950000000000003" customHeight="1" x14ac:dyDescent="0.35">
      <c r="B10" s="131">
        <v>2</v>
      </c>
      <c r="C10" s="132"/>
      <c r="D10" s="133"/>
      <c r="E10" s="132"/>
      <c r="F10" s="132"/>
      <c r="G10" s="145"/>
    </row>
    <row r="11" spans="1:7" s="130" customFormat="1" ht="39.950000000000003" customHeight="1" x14ac:dyDescent="0.35">
      <c r="B11" s="131">
        <v>3</v>
      </c>
      <c r="C11" s="132"/>
      <c r="D11" s="133"/>
      <c r="E11" s="132"/>
      <c r="F11" s="132"/>
      <c r="G11" s="145"/>
    </row>
    <row r="12" spans="1:7" s="130" customFormat="1" ht="39.950000000000003" customHeight="1" x14ac:dyDescent="0.35">
      <c r="B12" s="131">
        <v>4</v>
      </c>
      <c r="C12" s="132"/>
      <c r="D12" s="133"/>
      <c r="E12" s="132"/>
      <c r="F12" s="132"/>
      <c r="G12" s="145"/>
    </row>
    <row r="13" spans="1:7" s="130" customFormat="1" ht="39.950000000000003" customHeight="1" x14ac:dyDescent="0.35">
      <c r="B13" s="131">
        <v>5</v>
      </c>
      <c r="C13" s="132"/>
      <c r="D13" s="133"/>
      <c r="E13" s="132"/>
      <c r="F13" s="132"/>
      <c r="G13" s="145"/>
    </row>
    <row r="14" spans="1:7" s="130" customFormat="1" ht="39.950000000000003" customHeight="1" x14ac:dyDescent="0.35">
      <c r="B14" s="131">
        <v>6</v>
      </c>
      <c r="C14" s="132"/>
      <c r="D14" s="133"/>
      <c r="E14" s="132"/>
      <c r="F14" s="132"/>
      <c r="G14" s="145"/>
    </row>
    <row r="15" spans="1:7" s="130" customFormat="1" ht="39.950000000000003" customHeight="1" x14ac:dyDescent="0.35">
      <c r="B15" s="131">
        <v>7</v>
      </c>
      <c r="C15" s="132"/>
      <c r="D15" s="133"/>
      <c r="E15" s="132"/>
      <c r="F15" s="132"/>
      <c r="G15" s="145"/>
    </row>
    <row r="16" spans="1:7" s="130" customFormat="1" ht="39.950000000000003" customHeight="1" x14ac:dyDescent="0.35">
      <c r="B16" s="131">
        <v>8</v>
      </c>
      <c r="C16" s="132"/>
      <c r="D16" s="133"/>
      <c r="E16" s="132"/>
      <c r="F16" s="132"/>
      <c r="G16" s="145"/>
    </row>
    <row r="17" spans="1:7" s="130" customFormat="1" ht="39.950000000000003" customHeight="1" x14ac:dyDescent="0.35">
      <c r="B17" s="131">
        <v>9</v>
      </c>
      <c r="C17" s="132"/>
      <c r="D17" s="133"/>
      <c r="E17" s="132"/>
      <c r="F17" s="132"/>
      <c r="G17" s="145"/>
    </row>
    <row r="18" spans="1:7" s="130" customFormat="1" ht="39.950000000000003" customHeight="1" x14ac:dyDescent="0.35">
      <c r="B18" s="131">
        <v>10</v>
      </c>
      <c r="C18" s="132"/>
      <c r="D18" s="133"/>
      <c r="E18" s="132"/>
      <c r="F18" s="132"/>
      <c r="G18" s="145"/>
    </row>
    <row r="19" spans="1:7" s="130" customFormat="1" ht="39.950000000000003" customHeight="1" x14ac:dyDescent="0.35">
      <c r="B19" s="131">
        <v>11</v>
      </c>
      <c r="C19" s="132"/>
      <c r="D19" s="133"/>
      <c r="E19" s="132"/>
      <c r="F19" s="132"/>
      <c r="G19" s="145"/>
    </row>
    <row r="20" spans="1:7" s="130" customFormat="1" ht="39.950000000000003" customHeight="1" x14ac:dyDescent="0.35">
      <c r="A20" s="130" t="s">
        <v>102</v>
      </c>
      <c r="B20" s="131">
        <v>12</v>
      </c>
      <c r="C20" s="132"/>
      <c r="D20" s="133"/>
      <c r="E20" s="132"/>
      <c r="F20" s="132"/>
      <c r="G20" s="145"/>
    </row>
    <row r="21" spans="1:7" s="130" customFormat="1" ht="39.950000000000003" customHeight="1" x14ac:dyDescent="0.35">
      <c r="B21" s="131">
        <v>13</v>
      </c>
      <c r="C21" s="132"/>
      <c r="D21" s="133"/>
      <c r="E21" s="132"/>
      <c r="F21" s="132"/>
      <c r="G21" s="145"/>
    </row>
    <row r="22" spans="1:7" s="130" customFormat="1" ht="39.950000000000003" customHeight="1" x14ac:dyDescent="0.35">
      <c r="B22" s="131">
        <v>14</v>
      </c>
      <c r="C22" s="132"/>
      <c r="D22" s="133"/>
      <c r="E22" s="132"/>
      <c r="F22" s="132"/>
      <c r="G22" s="145"/>
    </row>
    <row r="23" spans="1:7" s="130" customFormat="1" ht="39.950000000000003" customHeight="1" x14ac:dyDescent="0.35">
      <c r="B23" s="131">
        <v>15</v>
      </c>
      <c r="C23" s="132"/>
      <c r="D23" s="133"/>
      <c r="E23" s="132"/>
      <c r="F23" s="132"/>
      <c r="G23" s="145"/>
    </row>
    <row r="24" spans="1:7" s="130" customFormat="1" ht="39.950000000000003" customHeight="1" x14ac:dyDescent="0.35">
      <c r="B24" s="131">
        <v>16</v>
      </c>
      <c r="C24" s="132"/>
      <c r="D24" s="133"/>
      <c r="E24" s="132"/>
      <c r="F24" s="132"/>
      <c r="G24" s="145"/>
    </row>
    <row r="25" spans="1:7" s="130" customFormat="1" ht="39.950000000000003" customHeight="1" x14ac:dyDescent="0.35">
      <c r="B25" s="131">
        <v>17</v>
      </c>
      <c r="C25" s="132"/>
      <c r="D25" s="133"/>
      <c r="E25" s="132"/>
      <c r="F25" s="132"/>
      <c r="G25" s="145"/>
    </row>
    <row r="26" spans="1:7" s="130" customFormat="1" ht="39.950000000000003" customHeight="1" x14ac:dyDescent="0.35">
      <c r="B26" s="131">
        <v>18</v>
      </c>
      <c r="C26" s="132"/>
      <c r="D26" s="133"/>
      <c r="E26" s="132"/>
      <c r="F26" s="132"/>
      <c r="G26" s="145"/>
    </row>
    <row r="27" spans="1:7" s="130" customFormat="1" ht="39.950000000000003" customHeight="1" x14ac:dyDescent="0.35">
      <c r="B27" s="131">
        <v>19</v>
      </c>
      <c r="C27" s="132"/>
      <c r="D27" s="133"/>
      <c r="E27" s="132"/>
      <c r="F27" s="132"/>
      <c r="G27" s="145"/>
    </row>
    <row r="28" spans="1:7" s="130" customFormat="1" ht="39.950000000000003" customHeight="1" x14ac:dyDescent="0.35">
      <c r="B28" s="131">
        <v>20</v>
      </c>
      <c r="C28" s="132"/>
      <c r="D28" s="133"/>
      <c r="E28" s="132"/>
      <c r="F28" s="132"/>
      <c r="G28" s="145"/>
    </row>
    <row r="29" spans="1:7" s="130" customFormat="1" ht="39.950000000000003" customHeight="1" x14ac:dyDescent="0.35">
      <c r="B29" s="131">
        <v>21</v>
      </c>
      <c r="C29" s="132"/>
      <c r="D29" s="133"/>
      <c r="E29" s="132"/>
      <c r="F29" s="132"/>
      <c r="G29" s="145"/>
    </row>
    <row r="30" spans="1:7" s="130" customFormat="1" ht="39.950000000000003" customHeight="1" x14ac:dyDescent="0.35">
      <c r="B30" s="131">
        <v>22</v>
      </c>
      <c r="C30" s="132"/>
      <c r="D30" s="133"/>
      <c r="E30" s="132"/>
      <c r="F30" s="132"/>
      <c r="G30" s="145"/>
    </row>
    <row r="31" spans="1:7" s="130" customFormat="1" ht="39.950000000000003" customHeight="1" x14ac:dyDescent="0.35">
      <c r="B31" s="131">
        <v>23</v>
      </c>
      <c r="C31" s="132"/>
      <c r="D31" s="133"/>
      <c r="E31" s="132"/>
      <c r="F31" s="132"/>
      <c r="G31" s="145"/>
    </row>
    <row r="32" spans="1:7" s="130" customFormat="1" ht="39.950000000000003" customHeight="1" x14ac:dyDescent="0.35">
      <c r="B32" s="131">
        <v>24</v>
      </c>
      <c r="C32" s="132"/>
      <c r="D32" s="133"/>
      <c r="E32" s="132"/>
      <c r="F32" s="132"/>
      <c r="G32" s="145"/>
    </row>
    <row r="33" spans="2:7" s="130" customFormat="1" ht="39.950000000000003" customHeight="1" x14ac:dyDescent="0.35">
      <c r="B33" s="131">
        <v>25</v>
      </c>
      <c r="C33" s="132"/>
      <c r="D33" s="133"/>
      <c r="E33" s="132"/>
      <c r="F33" s="132"/>
      <c r="G33" s="145"/>
    </row>
    <row r="34" spans="2:7" s="130" customFormat="1" ht="39.950000000000003" customHeight="1" x14ac:dyDescent="0.35">
      <c r="B34" s="131">
        <v>26</v>
      </c>
      <c r="C34" s="132"/>
      <c r="D34" s="133"/>
      <c r="E34" s="132"/>
      <c r="F34" s="132"/>
      <c r="G34" s="145"/>
    </row>
    <row r="35" spans="2:7" s="130" customFormat="1" ht="39.950000000000003" customHeight="1" x14ac:dyDescent="0.35">
      <c r="B35" s="131">
        <v>27</v>
      </c>
      <c r="C35" s="132"/>
      <c r="D35" s="133"/>
      <c r="E35" s="132"/>
      <c r="F35" s="132"/>
      <c r="G35" s="145"/>
    </row>
    <row r="36" spans="2:7" s="130" customFormat="1" ht="39.950000000000003" customHeight="1" x14ac:dyDescent="0.35">
      <c r="B36" s="131">
        <v>28</v>
      </c>
      <c r="C36" s="132"/>
      <c r="D36" s="133"/>
      <c r="E36" s="132"/>
      <c r="F36" s="132"/>
      <c r="G36" s="145"/>
    </row>
    <row r="37" spans="2:7" s="130" customFormat="1" ht="39.950000000000003" customHeight="1" x14ac:dyDescent="0.35">
      <c r="B37" s="131">
        <v>29</v>
      </c>
      <c r="C37" s="132"/>
      <c r="D37" s="133"/>
      <c r="E37" s="132"/>
      <c r="F37" s="132"/>
      <c r="G37" s="145"/>
    </row>
    <row r="38" spans="2:7" s="130" customFormat="1" ht="39.950000000000003" customHeight="1" x14ac:dyDescent="0.35">
      <c r="B38" s="131">
        <v>30</v>
      </c>
      <c r="C38" s="132"/>
      <c r="D38" s="133"/>
      <c r="E38" s="132"/>
      <c r="F38" s="132"/>
      <c r="G38" s="145"/>
    </row>
    <row r="39" spans="2:7" s="130" customFormat="1" ht="39.950000000000003" customHeight="1" x14ac:dyDescent="0.35">
      <c r="B39" s="131">
        <v>31</v>
      </c>
      <c r="C39" s="132"/>
      <c r="D39" s="133"/>
      <c r="E39" s="132"/>
      <c r="F39" s="132"/>
      <c r="G39" s="145"/>
    </row>
    <row r="40" spans="2:7" s="130" customFormat="1" ht="39.950000000000003" customHeight="1" x14ac:dyDescent="0.35">
      <c r="B40" s="131">
        <v>32</v>
      </c>
      <c r="C40" s="132"/>
      <c r="D40" s="133"/>
      <c r="E40" s="132"/>
      <c r="F40" s="132"/>
      <c r="G40" s="145"/>
    </row>
    <row r="41" spans="2:7" s="130" customFormat="1" ht="39.950000000000003" customHeight="1" x14ac:dyDescent="0.35">
      <c r="B41" s="131">
        <v>33</v>
      </c>
      <c r="C41" s="132"/>
      <c r="D41" s="133"/>
      <c r="E41" s="132"/>
      <c r="F41" s="132"/>
      <c r="G41" s="145"/>
    </row>
    <row r="42" spans="2:7" s="130" customFormat="1" ht="39.950000000000003" customHeight="1" x14ac:dyDescent="0.35">
      <c r="B42" s="131">
        <v>34</v>
      </c>
      <c r="C42" s="132"/>
      <c r="D42" s="133"/>
      <c r="E42" s="132"/>
      <c r="F42" s="132"/>
      <c r="G42" s="145"/>
    </row>
    <row r="43" spans="2:7" s="130" customFormat="1" ht="39.950000000000003" customHeight="1" x14ac:dyDescent="0.35">
      <c r="B43" s="131">
        <v>35</v>
      </c>
      <c r="C43" s="132"/>
      <c r="D43" s="133"/>
      <c r="E43" s="132"/>
      <c r="F43" s="132"/>
      <c r="G43" s="145"/>
    </row>
    <row r="44" spans="2:7" s="130" customFormat="1" ht="39.950000000000003" customHeight="1" x14ac:dyDescent="0.35">
      <c r="B44" s="131">
        <v>36</v>
      </c>
      <c r="C44" s="132"/>
      <c r="D44" s="133"/>
      <c r="E44" s="132"/>
      <c r="F44" s="132"/>
      <c r="G44" s="145"/>
    </row>
    <row r="45" spans="2:7" s="130" customFormat="1" ht="39.950000000000003" customHeight="1" x14ac:dyDescent="0.35">
      <c r="B45" s="131">
        <v>37</v>
      </c>
      <c r="C45" s="132"/>
      <c r="D45" s="133"/>
      <c r="E45" s="132"/>
      <c r="F45" s="132"/>
      <c r="G45" s="145"/>
    </row>
    <row r="46" spans="2:7" s="130" customFormat="1" ht="39.950000000000003" customHeight="1" thickBot="1" x14ac:dyDescent="0.4">
      <c r="B46" s="131">
        <v>38</v>
      </c>
      <c r="C46" s="132"/>
      <c r="D46" s="133"/>
      <c r="E46" s="132"/>
      <c r="F46" s="132"/>
      <c r="G46" s="146"/>
    </row>
    <row r="47" spans="2:7" ht="39.950000000000003" customHeight="1" thickBot="1" x14ac:dyDescent="0.4">
      <c r="B47" s="134" t="s">
        <v>5</v>
      </c>
      <c r="C47" s="136"/>
      <c r="D47" s="137"/>
      <c r="E47" s="135"/>
      <c r="F47" s="135"/>
      <c r="G47" s="148"/>
    </row>
    <row r="48" spans="2:7" s="130" customFormat="1" ht="22.5" customHeight="1" x14ac:dyDescent="0.35"/>
    <row r="49" spans="7:7" s="130" customFormat="1" ht="22.5" customHeight="1" x14ac:dyDescent="0.35"/>
    <row r="50" spans="7:7" s="130" customFormat="1" ht="22.5" customHeight="1" x14ac:dyDescent="0.35"/>
    <row r="51" spans="7:7" s="130" customFormat="1" ht="22.5" customHeight="1" x14ac:dyDescent="0.35"/>
    <row r="52" spans="7:7" s="130" customFormat="1" ht="22.5" customHeight="1" x14ac:dyDescent="0.35"/>
    <row r="53" spans="7:7" s="130" customFormat="1" ht="22.5" customHeight="1" x14ac:dyDescent="0.35"/>
    <row r="54" spans="7:7" ht="23.1" customHeight="1" x14ac:dyDescent="0.35">
      <c r="G54" s="130"/>
    </row>
    <row r="55" spans="7:7" ht="23.1" customHeight="1" x14ac:dyDescent="0.35">
      <c r="G55" s="130"/>
    </row>
    <row r="56" spans="7:7" ht="22.5" customHeight="1" x14ac:dyDescent="0.35">
      <c r="G56" s="130"/>
    </row>
    <row r="57" spans="7:7" s="130" customFormat="1" ht="22.5" customHeight="1" x14ac:dyDescent="0.35"/>
    <row r="58" spans="7:7" s="130" customFormat="1" ht="22.5" customHeight="1" x14ac:dyDescent="0.35"/>
    <row r="59" spans="7:7" s="130" customFormat="1" ht="22.5" customHeight="1" x14ac:dyDescent="0.35"/>
    <row r="60" spans="7:7" s="130" customFormat="1" ht="22.5" customHeight="1" x14ac:dyDescent="0.35"/>
    <row r="61" spans="7:7" s="130" customFormat="1" ht="22.5" customHeight="1" x14ac:dyDescent="0.35"/>
    <row r="62" spans="7:7" s="130" customFormat="1" ht="22.5" customHeight="1" x14ac:dyDescent="0.35"/>
    <row r="63" spans="7:7" s="130" customFormat="1" ht="22.5" customHeight="1" x14ac:dyDescent="0.35">
      <c r="G63" s="138"/>
    </row>
    <row r="64" spans="7:7" s="130" customFormat="1" ht="22.5" customHeight="1" x14ac:dyDescent="0.35">
      <c r="G64" s="138"/>
    </row>
    <row r="65" spans="7:7" s="130" customFormat="1" ht="22.5" customHeight="1" x14ac:dyDescent="0.35">
      <c r="G65" s="138"/>
    </row>
    <row r="66" spans="7:7" s="130" customFormat="1" ht="22.5" customHeight="1" x14ac:dyDescent="0.35">
      <c r="G66" s="138"/>
    </row>
    <row r="67" spans="7:7" s="130" customFormat="1" ht="22.5" customHeight="1" x14ac:dyDescent="0.35">
      <c r="G67" s="138"/>
    </row>
    <row r="68" spans="7:7" s="130" customFormat="1" ht="22.5" customHeight="1" x14ac:dyDescent="0.35">
      <c r="G68" s="138"/>
    </row>
    <row r="69" spans="7:7" s="130" customFormat="1" ht="22.5" customHeight="1" x14ac:dyDescent="0.35">
      <c r="G69" s="138"/>
    </row>
    <row r="70" spans="7:7" s="130" customFormat="1" ht="22.5" customHeight="1" x14ac:dyDescent="0.35">
      <c r="G70" s="138"/>
    </row>
    <row r="71" spans="7:7" s="130" customFormat="1" ht="22.5" customHeight="1" x14ac:dyDescent="0.35">
      <c r="G71" s="138"/>
    </row>
    <row r="72" spans="7:7" s="130" customFormat="1" ht="22.5" customHeight="1" x14ac:dyDescent="0.35">
      <c r="G72" s="138"/>
    </row>
    <row r="73" spans="7:7" s="130" customFormat="1" ht="22.5" customHeight="1" x14ac:dyDescent="0.35">
      <c r="G73" s="138"/>
    </row>
    <row r="74" spans="7:7" s="130" customFormat="1" ht="22.5" customHeight="1" x14ac:dyDescent="0.35">
      <c r="G74" s="138"/>
    </row>
    <row r="75" spans="7:7" s="130" customFormat="1" ht="22.5" customHeight="1" x14ac:dyDescent="0.35">
      <c r="G75" s="138"/>
    </row>
    <row r="76" spans="7:7" s="130" customFormat="1" ht="22.5" customHeight="1" x14ac:dyDescent="0.35">
      <c r="G76" s="138"/>
    </row>
    <row r="77" spans="7:7" s="130" customFormat="1" ht="22.5" customHeight="1" x14ac:dyDescent="0.35">
      <c r="G77" s="138"/>
    </row>
    <row r="78" spans="7:7" s="130" customFormat="1" ht="22.5" customHeight="1" x14ac:dyDescent="0.35">
      <c r="G78" s="138"/>
    </row>
    <row r="79" spans="7:7" s="130" customFormat="1" ht="22.5" customHeight="1" x14ac:dyDescent="0.35">
      <c r="G79" s="138"/>
    </row>
    <row r="80" spans="7:7" s="130" customFormat="1" ht="22.5" customHeight="1" x14ac:dyDescent="0.35">
      <c r="G80" s="138"/>
    </row>
    <row r="81" spans="7:7" s="130" customFormat="1" ht="22.5" customHeight="1" x14ac:dyDescent="0.35">
      <c r="G81" s="138"/>
    </row>
    <row r="82" spans="7:7" s="130" customFormat="1" ht="22.5" customHeight="1" x14ac:dyDescent="0.35">
      <c r="G82" s="138"/>
    </row>
    <row r="83" spans="7:7" s="130" customFormat="1" ht="22.5" customHeight="1" x14ac:dyDescent="0.35">
      <c r="G83" s="138"/>
    </row>
    <row r="84" spans="7:7" s="130" customFormat="1" ht="22.5" customHeight="1" x14ac:dyDescent="0.35">
      <c r="G84" s="138"/>
    </row>
    <row r="85" spans="7:7" s="130" customFormat="1" ht="22.5" customHeight="1" x14ac:dyDescent="0.35">
      <c r="G85" s="138"/>
    </row>
    <row r="86" spans="7:7" s="130" customFormat="1" ht="22.5" customHeight="1" x14ac:dyDescent="0.35">
      <c r="G86" s="138"/>
    </row>
    <row r="87" spans="7:7" s="130" customFormat="1" ht="22.5" customHeight="1" x14ac:dyDescent="0.35">
      <c r="G87" s="138"/>
    </row>
    <row r="88" spans="7:7" s="130" customFormat="1" ht="22.5" customHeight="1" x14ac:dyDescent="0.35">
      <c r="G88" s="138"/>
    </row>
    <row r="89" spans="7:7" s="130" customFormat="1" ht="22.5" customHeight="1" x14ac:dyDescent="0.35">
      <c r="G89" s="138"/>
    </row>
    <row r="90" spans="7:7" s="130" customFormat="1" ht="22.5" customHeight="1" x14ac:dyDescent="0.35">
      <c r="G90" s="138"/>
    </row>
    <row r="91" spans="7:7" s="130" customFormat="1" ht="22.5" customHeight="1" x14ac:dyDescent="0.35">
      <c r="G91" s="138"/>
    </row>
    <row r="92" spans="7:7" s="130" customFormat="1" ht="22.5" customHeight="1" x14ac:dyDescent="0.35">
      <c r="G92" s="138"/>
    </row>
    <row r="93" spans="7:7" s="130" customFormat="1" ht="22.5" customHeight="1" x14ac:dyDescent="0.35">
      <c r="G93" s="138"/>
    </row>
    <row r="94" spans="7:7" s="130" customFormat="1" ht="22.5" customHeight="1" x14ac:dyDescent="0.35">
      <c r="G94" s="138"/>
    </row>
    <row r="95" spans="7:7" s="130" customFormat="1" ht="22.5" customHeight="1" x14ac:dyDescent="0.35">
      <c r="G95" s="138"/>
    </row>
    <row r="96" spans="7:7" s="130" customFormat="1" ht="22.5" customHeight="1" x14ac:dyDescent="0.35">
      <c r="G96" s="138"/>
    </row>
    <row r="97" spans="7:7" ht="23.1" customHeight="1" x14ac:dyDescent="0.35"/>
    <row r="98" spans="7:7" s="130" customFormat="1" ht="22.5" customHeight="1" x14ac:dyDescent="0.35">
      <c r="G98" s="138"/>
    </row>
    <row r="99" spans="7:7" ht="22.5" customHeight="1" x14ac:dyDescent="0.35"/>
    <row r="100" spans="7:7" ht="22.5" customHeight="1" x14ac:dyDescent="0.35"/>
    <row r="101" spans="7:7" ht="22.5" customHeight="1" x14ac:dyDescent="0.35"/>
    <row r="102" spans="7:7" s="130" customFormat="1" ht="22.5" customHeight="1" x14ac:dyDescent="0.35">
      <c r="G102" s="138"/>
    </row>
    <row r="103" spans="7:7" s="130" customFormat="1" ht="22.5" customHeight="1" x14ac:dyDescent="0.35">
      <c r="G103" s="138"/>
    </row>
    <row r="104" spans="7:7" s="130" customFormat="1" ht="22.5" customHeight="1" x14ac:dyDescent="0.35">
      <c r="G104" s="138"/>
    </row>
    <row r="105" spans="7:7" s="130" customFormat="1" ht="22.5" customHeight="1" x14ac:dyDescent="0.35">
      <c r="G105" s="138"/>
    </row>
    <row r="106" spans="7:7" s="130" customFormat="1" ht="22.5" customHeight="1" x14ac:dyDescent="0.35">
      <c r="G106" s="138"/>
    </row>
    <row r="107" spans="7:7" s="130" customFormat="1" ht="22.5" customHeight="1" x14ac:dyDescent="0.35">
      <c r="G107" s="138"/>
    </row>
    <row r="108" spans="7:7" s="130" customFormat="1" ht="22.5" customHeight="1" x14ac:dyDescent="0.35">
      <c r="G108" s="138"/>
    </row>
    <row r="109" spans="7:7" s="130" customFormat="1" ht="22.5" customHeight="1" x14ac:dyDescent="0.35">
      <c r="G109" s="138"/>
    </row>
    <row r="110" spans="7:7" s="130" customFormat="1" ht="22.5" customHeight="1" x14ac:dyDescent="0.35">
      <c r="G110" s="138"/>
    </row>
    <row r="111" spans="7:7" s="130" customFormat="1" ht="22.5" customHeight="1" x14ac:dyDescent="0.35">
      <c r="G111" s="138"/>
    </row>
    <row r="112" spans="7:7" s="130" customFormat="1" ht="22.5" customHeight="1" x14ac:dyDescent="0.35">
      <c r="G112" s="138"/>
    </row>
    <row r="113" spans="7:7" s="130" customFormat="1" ht="22.5" customHeight="1" x14ac:dyDescent="0.35">
      <c r="G113" s="138"/>
    </row>
    <row r="114" spans="7:7" s="130" customFormat="1" ht="22.5" customHeight="1" x14ac:dyDescent="0.35">
      <c r="G114" s="138"/>
    </row>
    <row r="115" spans="7:7" s="130" customFormat="1" ht="22.5" customHeight="1" x14ac:dyDescent="0.35">
      <c r="G115" s="138"/>
    </row>
    <row r="116" spans="7:7" s="130" customFormat="1" ht="22.5" customHeight="1" x14ac:dyDescent="0.35">
      <c r="G116" s="138"/>
    </row>
    <row r="117" spans="7:7" s="130" customFormat="1" ht="22.5" customHeight="1" x14ac:dyDescent="0.35">
      <c r="G117" s="138"/>
    </row>
    <row r="118" spans="7:7" s="130" customFormat="1" ht="22.5" customHeight="1" x14ac:dyDescent="0.35">
      <c r="G118" s="138"/>
    </row>
    <row r="119" spans="7:7" ht="23.1" customHeight="1" x14ac:dyDescent="0.35"/>
    <row r="120" spans="7:7" ht="23.1" customHeight="1" x14ac:dyDescent="0.35"/>
    <row r="121" spans="7:7" ht="23.1" customHeight="1" x14ac:dyDescent="0.35"/>
    <row r="122" spans="7:7" s="130" customFormat="1" ht="22.5" customHeight="1" x14ac:dyDescent="0.35">
      <c r="G122" s="138"/>
    </row>
    <row r="123" spans="7:7" s="130" customFormat="1" ht="22.5" customHeight="1" x14ac:dyDescent="0.35">
      <c r="G123" s="138"/>
    </row>
    <row r="124" spans="7:7" s="130" customFormat="1" ht="22.5" customHeight="1" x14ac:dyDescent="0.35">
      <c r="G124" s="138"/>
    </row>
    <row r="125" spans="7:7" s="130" customFormat="1" ht="22.5" customHeight="1" x14ac:dyDescent="0.35">
      <c r="G125" s="138"/>
    </row>
    <row r="126" spans="7:7" s="130" customFormat="1" ht="22.5" customHeight="1" x14ac:dyDescent="0.35">
      <c r="G126" s="138"/>
    </row>
    <row r="127" spans="7:7" s="130" customFormat="1" ht="22.5" customHeight="1" x14ac:dyDescent="0.35">
      <c r="G127" s="138"/>
    </row>
    <row r="128" spans="7:7" s="130" customFormat="1" ht="22.5" customHeight="1" x14ac:dyDescent="0.35">
      <c r="G128" s="138"/>
    </row>
    <row r="129" spans="7:7" s="130" customFormat="1" ht="22.5" customHeight="1" x14ac:dyDescent="0.35">
      <c r="G129" s="138"/>
    </row>
    <row r="130" spans="7:7" s="130" customFormat="1" ht="22.5" customHeight="1" x14ac:dyDescent="0.35">
      <c r="G130" s="138"/>
    </row>
    <row r="131" spans="7:7" s="130" customFormat="1" ht="22.5" customHeight="1" x14ac:dyDescent="0.35">
      <c r="G131" s="138"/>
    </row>
    <row r="132" spans="7:7" s="130" customFormat="1" ht="23.1" customHeight="1" x14ac:dyDescent="0.35">
      <c r="G132" s="138"/>
    </row>
    <row r="133" spans="7:7" s="130" customFormat="1" ht="22.5" customHeight="1" x14ac:dyDescent="0.35">
      <c r="G133" s="138"/>
    </row>
    <row r="134" spans="7:7" s="130" customFormat="1" ht="22.5" customHeight="1" x14ac:dyDescent="0.35">
      <c r="G134" s="138"/>
    </row>
    <row r="135" spans="7:7" s="130" customFormat="1" ht="22.5" customHeight="1" x14ac:dyDescent="0.35">
      <c r="G135" s="138"/>
    </row>
    <row r="136" spans="7:7" s="130" customFormat="1" ht="22.5" customHeight="1" x14ac:dyDescent="0.35">
      <c r="G136" s="138"/>
    </row>
    <row r="137" spans="7:7" s="130" customFormat="1" ht="22.5" customHeight="1" x14ac:dyDescent="0.35">
      <c r="G137" s="138"/>
    </row>
    <row r="138" spans="7:7" s="130" customFormat="1" ht="22.5" customHeight="1" x14ac:dyDescent="0.35">
      <c r="G138" s="138"/>
    </row>
    <row r="139" spans="7:7" s="130" customFormat="1" ht="22.5" customHeight="1" x14ac:dyDescent="0.35">
      <c r="G139" s="138"/>
    </row>
    <row r="140" spans="7:7" s="130" customFormat="1" ht="22.5" customHeight="1" x14ac:dyDescent="0.35">
      <c r="G140" s="138"/>
    </row>
    <row r="141" spans="7:7" ht="23.1" customHeight="1" x14ac:dyDescent="0.35"/>
    <row r="142" spans="7:7" s="130" customFormat="1" ht="22.5" customHeight="1" x14ac:dyDescent="0.35">
      <c r="G142" s="138"/>
    </row>
    <row r="143" spans="7:7" ht="23.1" customHeight="1" x14ac:dyDescent="0.35"/>
    <row r="144" spans="7:7" s="130" customFormat="1" ht="22.5" customHeight="1" x14ac:dyDescent="0.35">
      <c r="G144" s="138"/>
    </row>
    <row r="145" spans="7:7" s="130" customFormat="1" ht="22.5" customHeight="1" x14ac:dyDescent="0.35">
      <c r="G145" s="138"/>
    </row>
    <row r="146" spans="7:7" s="130" customFormat="1" ht="22.5" customHeight="1" x14ac:dyDescent="0.35">
      <c r="G146" s="138"/>
    </row>
    <row r="147" spans="7:7" s="130" customFormat="1" ht="22.5" customHeight="1" x14ac:dyDescent="0.35">
      <c r="G147" s="138"/>
    </row>
    <row r="148" spans="7:7" s="130" customFormat="1" ht="22.5" customHeight="1" x14ac:dyDescent="0.35">
      <c r="G148" s="138"/>
    </row>
    <row r="149" spans="7:7" s="130" customFormat="1" ht="22.5" customHeight="1" x14ac:dyDescent="0.35">
      <c r="G149" s="138"/>
    </row>
    <row r="150" spans="7:7" s="130" customFormat="1" ht="22.5" customHeight="1" x14ac:dyDescent="0.35">
      <c r="G150" s="138"/>
    </row>
    <row r="151" spans="7:7" s="130" customFormat="1" ht="22.5" customHeight="1" x14ac:dyDescent="0.35">
      <c r="G151" s="138"/>
    </row>
    <row r="152" spans="7:7" s="130" customFormat="1" ht="22.5" customHeight="1" x14ac:dyDescent="0.35">
      <c r="G152" s="138"/>
    </row>
    <row r="153" spans="7:7" s="130" customFormat="1" ht="22.5" customHeight="1" x14ac:dyDescent="0.35">
      <c r="G153" s="138"/>
    </row>
    <row r="154" spans="7:7" s="130" customFormat="1" ht="22.5" customHeight="1" x14ac:dyDescent="0.35">
      <c r="G154" s="138"/>
    </row>
    <row r="155" spans="7:7" s="130" customFormat="1" ht="22.5" customHeight="1" x14ac:dyDescent="0.35">
      <c r="G155" s="138"/>
    </row>
    <row r="156" spans="7:7" s="130" customFormat="1" ht="22.5" customHeight="1" x14ac:dyDescent="0.35">
      <c r="G156" s="138"/>
    </row>
    <row r="157" spans="7:7" s="130" customFormat="1" ht="22.5" customHeight="1" x14ac:dyDescent="0.35">
      <c r="G157" s="138"/>
    </row>
    <row r="158" spans="7:7" s="130" customFormat="1" ht="22.5" customHeight="1" x14ac:dyDescent="0.35">
      <c r="G158" s="138"/>
    </row>
    <row r="159" spans="7:7" ht="23.1" customHeight="1" x14ac:dyDescent="0.35"/>
    <row r="160" spans="7:7" s="130" customFormat="1" ht="22.5" customHeight="1" x14ac:dyDescent="0.35">
      <c r="G160" s="138"/>
    </row>
    <row r="161" spans="7:7" s="130" customFormat="1" ht="22.5" customHeight="1" x14ac:dyDescent="0.35">
      <c r="G161" s="138"/>
    </row>
    <row r="162" spans="7:7" s="130" customFormat="1" ht="22.5" customHeight="1" x14ac:dyDescent="0.35">
      <c r="G162" s="138"/>
    </row>
    <row r="163" spans="7:7" s="130" customFormat="1" ht="22.5" customHeight="1" x14ac:dyDescent="0.35">
      <c r="G163" s="138"/>
    </row>
    <row r="164" spans="7:7" s="130" customFormat="1" ht="22.5" customHeight="1" x14ac:dyDescent="0.35">
      <c r="G164" s="138"/>
    </row>
    <row r="165" spans="7:7" s="130" customFormat="1" ht="22.5" customHeight="1" x14ac:dyDescent="0.35">
      <c r="G165" s="138"/>
    </row>
    <row r="166" spans="7:7" s="130" customFormat="1" ht="22.5" customHeight="1" x14ac:dyDescent="0.35">
      <c r="G166" s="138"/>
    </row>
    <row r="167" spans="7:7" s="130" customFormat="1" ht="22.5" customHeight="1" x14ac:dyDescent="0.35">
      <c r="G167" s="138"/>
    </row>
    <row r="168" spans="7:7" s="130" customFormat="1" ht="22.5" customHeight="1" x14ac:dyDescent="0.35">
      <c r="G168" s="138"/>
    </row>
    <row r="169" spans="7:7" s="130" customFormat="1" ht="22.5" customHeight="1" x14ac:dyDescent="0.35">
      <c r="G169" s="138"/>
    </row>
    <row r="170" spans="7:7" s="130" customFormat="1" ht="22.5" customHeight="1" x14ac:dyDescent="0.35">
      <c r="G170" s="138"/>
    </row>
    <row r="171" spans="7:7" s="130" customFormat="1" ht="22.5" customHeight="1" x14ac:dyDescent="0.35">
      <c r="G171" s="138"/>
    </row>
    <row r="172" spans="7:7" s="130" customFormat="1" ht="22.5" customHeight="1" x14ac:dyDescent="0.35">
      <c r="G172" s="138"/>
    </row>
    <row r="173" spans="7:7" s="130" customFormat="1" ht="22.5" customHeight="1" x14ac:dyDescent="0.35">
      <c r="G173" s="138"/>
    </row>
    <row r="174" spans="7:7" s="130" customFormat="1" ht="22.5" customHeight="1" x14ac:dyDescent="0.35">
      <c r="G174" s="138"/>
    </row>
    <row r="175" spans="7:7" s="130" customFormat="1" ht="22.5" customHeight="1" x14ac:dyDescent="0.35">
      <c r="G175" s="138"/>
    </row>
    <row r="176" spans="7:7" s="130" customFormat="1" ht="22.5" customHeight="1" x14ac:dyDescent="0.35">
      <c r="G176" s="138"/>
    </row>
    <row r="177" spans="7:7" s="130" customFormat="1" ht="22.5" customHeight="1" x14ac:dyDescent="0.35">
      <c r="G177" s="138"/>
    </row>
    <row r="178" spans="7:7" s="130" customFormat="1" ht="22.5" customHeight="1" x14ac:dyDescent="0.35">
      <c r="G178" s="138"/>
    </row>
    <row r="179" spans="7:7" s="130" customFormat="1" ht="22.5" customHeight="1" x14ac:dyDescent="0.35">
      <c r="G179" s="138"/>
    </row>
    <row r="180" spans="7:7" s="130" customFormat="1" ht="22.5" customHeight="1" x14ac:dyDescent="0.35">
      <c r="G180" s="138"/>
    </row>
    <row r="181" spans="7:7" s="130" customFormat="1" ht="22.5" customHeight="1" x14ac:dyDescent="0.35">
      <c r="G181" s="138"/>
    </row>
    <row r="182" spans="7:7" s="130" customFormat="1" ht="22.5" customHeight="1" x14ac:dyDescent="0.35">
      <c r="G182" s="138"/>
    </row>
    <row r="183" spans="7:7" s="130" customFormat="1" ht="22.5" customHeight="1" x14ac:dyDescent="0.35">
      <c r="G183" s="138"/>
    </row>
    <row r="184" spans="7:7" s="130" customFormat="1" ht="22.5" customHeight="1" x14ac:dyDescent="0.35">
      <c r="G184" s="138"/>
    </row>
    <row r="185" spans="7:7" s="130" customFormat="1" ht="22.5" customHeight="1" x14ac:dyDescent="0.35">
      <c r="G185" s="138"/>
    </row>
    <row r="186" spans="7:7" s="130" customFormat="1" ht="22.5" customHeight="1" x14ac:dyDescent="0.35">
      <c r="G186" s="138"/>
    </row>
    <row r="187" spans="7:7" s="130" customFormat="1" ht="22.5" customHeight="1" x14ac:dyDescent="0.35">
      <c r="G187" s="138"/>
    </row>
    <row r="188" spans="7:7" ht="23.1" customHeight="1" x14ac:dyDescent="0.35"/>
    <row r="189" spans="7:7" ht="22.5" customHeight="1" x14ac:dyDescent="0.35"/>
    <row r="190" spans="7:7" ht="23.1" customHeight="1" x14ac:dyDescent="0.35"/>
    <row r="191" spans="7:7" ht="23.1" customHeight="1" x14ac:dyDescent="0.35"/>
    <row r="192" spans="7:7" ht="22.5" customHeight="1" x14ac:dyDescent="0.35"/>
    <row r="193" spans="7:7" ht="23.1" customHeight="1" x14ac:dyDescent="0.35"/>
    <row r="194" spans="7:7" ht="23.1" customHeight="1" x14ac:dyDescent="0.35"/>
    <row r="195" spans="7:7" ht="22.5" customHeight="1" x14ac:dyDescent="0.35"/>
    <row r="196" spans="7:7" ht="23.1" customHeight="1" x14ac:dyDescent="0.35"/>
    <row r="197" spans="7:7" ht="23.1" customHeight="1" x14ac:dyDescent="0.35"/>
    <row r="198" spans="7:7" ht="23.1" customHeight="1" x14ac:dyDescent="0.35"/>
    <row r="199" spans="7:7" s="130" customFormat="1" ht="22.5" customHeight="1" x14ac:dyDescent="0.35">
      <c r="G199" s="138"/>
    </row>
    <row r="200" spans="7:7" s="130" customFormat="1" ht="22.5" customHeight="1" x14ac:dyDescent="0.35">
      <c r="G200" s="138"/>
    </row>
    <row r="201" spans="7:7" s="130" customFormat="1" ht="22.5" customHeight="1" x14ac:dyDescent="0.35">
      <c r="G201" s="138"/>
    </row>
    <row r="202" spans="7:7" ht="23.1" customHeight="1" x14ac:dyDescent="0.35"/>
    <row r="203" spans="7:7" s="130" customFormat="1" ht="22.5" customHeight="1" x14ac:dyDescent="0.35">
      <c r="G203" s="138"/>
    </row>
    <row r="204" spans="7:7" s="130" customFormat="1" ht="22.5" customHeight="1" x14ac:dyDescent="0.35">
      <c r="G204" s="138"/>
    </row>
    <row r="205" spans="7:7" s="130" customFormat="1" ht="22.5" customHeight="1" x14ac:dyDescent="0.35">
      <c r="G205" s="138"/>
    </row>
    <row r="206" spans="7:7" s="130" customFormat="1" ht="22.5" customHeight="1" x14ac:dyDescent="0.35">
      <c r="G206" s="138"/>
    </row>
    <row r="207" spans="7:7" s="130" customFormat="1" ht="22.5" customHeight="1" x14ac:dyDescent="0.35">
      <c r="G207" s="138"/>
    </row>
    <row r="208" spans="7:7" s="130" customFormat="1" ht="22.5" customHeight="1" x14ac:dyDescent="0.35">
      <c r="G208" s="138"/>
    </row>
    <row r="209" spans="7:7" s="130" customFormat="1" ht="22.5" customHeight="1" x14ac:dyDescent="0.35">
      <c r="G209" s="138"/>
    </row>
    <row r="210" spans="7:7" s="130" customFormat="1" ht="22.5" customHeight="1" x14ac:dyDescent="0.35">
      <c r="G210" s="138"/>
    </row>
    <row r="211" spans="7:7" s="130" customFormat="1" ht="22.5" customHeight="1" x14ac:dyDescent="0.35">
      <c r="G211" s="138"/>
    </row>
    <row r="212" spans="7:7" s="130" customFormat="1" ht="22.5" customHeight="1" x14ac:dyDescent="0.35">
      <c r="G212" s="138"/>
    </row>
    <row r="213" spans="7:7" s="130" customFormat="1" ht="22.5" customHeight="1" x14ac:dyDescent="0.35">
      <c r="G213" s="138"/>
    </row>
    <row r="214" spans="7:7" s="130" customFormat="1" ht="22.5" customHeight="1" x14ac:dyDescent="0.35">
      <c r="G214" s="138"/>
    </row>
    <row r="215" spans="7:7" s="130" customFormat="1" ht="22.5" customHeight="1" x14ac:dyDescent="0.35">
      <c r="G215" s="138"/>
    </row>
    <row r="216" spans="7:7" s="130" customFormat="1" ht="22.5" customHeight="1" x14ac:dyDescent="0.35">
      <c r="G216" s="138"/>
    </row>
    <row r="217" spans="7:7" s="130" customFormat="1" ht="22.5" customHeight="1" x14ac:dyDescent="0.35">
      <c r="G217" s="138"/>
    </row>
    <row r="218" spans="7:7" s="130" customFormat="1" ht="22.5" customHeight="1" x14ac:dyDescent="0.35">
      <c r="G218" s="138"/>
    </row>
    <row r="219" spans="7:7" s="130" customFormat="1" ht="22.5" customHeight="1" x14ac:dyDescent="0.35">
      <c r="G219" s="138"/>
    </row>
    <row r="220" spans="7:7" s="130" customFormat="1" ht="22.5" customHeight="1" x14ac:dyDescent="0.35">
      <c r="G220" s="138"/>
    </row>
    <row r="221" spans="7:7" s="130" customFormat="1" ht="22.5" customHeight="1" x14ac:dyDescent="0.35">
      <c r="G221" s="138"/>
    </row>
    <row r="222" spans="7:7" s="130" customFormat="1" ht="22.5" customHeight="1" x14ac:dyDescent="0.35">
      <c r="G222" s="138"/>
    </row>
    <row r="223" spans="7:7" s="130" customFormat="1" ht="22.5" customHeight="1" x14ac:dyDescent="0.35">
      <c r="G223" s="138"/>
    </row>
    <row r="224" spans="7:7" s="130" customFormat="1" ht="22.5" customHeight="1" x14ac:dyDescent="0.35">
      <c r="G224" s="138"/>
    </row>
    <row r="225" spans="7:7" s="130" customFormat="1" ht="22.5" customHeight="1" x14ac:dyDescent="0.35">
      <c r="G225" s="138"/>
    </row>
    <row r="226" spans="7:7" s="130" customFormat="1" ht="22.5" customHeight="1" x14ac:dyDescent="0.35">
      <c r="G226" s="138"/>
    </row>
    <row r="227" spans="7:7" s="130" customFormat="1" ht="22.5" customHeight="1" x14ac:dyDescent="0.35">
      <c r="G227" s="138"/>
    </row>
    <row r="228" spans="7:7" s="130" customFormat="1" ht="22.5" customHeight="1" x14ac:dyDescent="0.35">
      <c r="G228" s="138"/>
    </row>
    <row r="229" spans="7:7" s="130" customFormat="1" ht="22.5" customHeight="1" x14ac:dyDescent="0.35">
      <c r="G229" s="138"/>
    </row>
    <row r="230" spans="7:7" s="130" customFormat="1" ht="22.5" customHeight="1" x14ac:dyDescent="0.35">
      <c r="G230" s="138"/>
    </row>
    <row r="231" spans="7:7" s="130" customFormat="1" ht="22.5" customHeight="1" x14ac:dyDescent="0.35">
      <c r="G231" s="138"/>
    </row>
    <row r="232" spans="7:7" s="130" customFormat="1" ht="22.5" customHeight="1" x14ac:dyDescent="0.35">
      <c r="G232" s="138"/>
    </row>
    <row r="233" spans="7:7" s="130" customFormat="1" ht="22.5" customHeight="1" x14ac:dyDescent="0.35">
      <c r="G233" s="138"/>
    </row>
    <row r="234" spans="7:7" s="130" customFormat="1" ht="22.5" customHeight="1" x14ac:dyDescent="0.35">
      <c r="G234" s="138"/>
    </row>
    <row r="235" spans="7:7" s="130" customFormat="1" ht="22.5" customHeight="1" x14ac:dyDescent="0.35">
      <c r="G235" s="138"/>
    </row>
    <row r="236" spans="7:7" s="130" customFormat="1" ht="22.5" customHeight="1" x14ac:dyDescent="0.35">
      <c r="G236" s="138"/>
    </row>
    <row r="237" spans="7:7" s="130" customFormat="1" ht="22.5" customHeight="1" x14ac:dyDescent="0.35">
      <c r="G237" s="138"/>
    </row>
    <row r="238" spans="7:7" s="130" customFormat="1" ht="22.5" customHeight="1" x14ac:dyDescent="0.35">
      <c r="G238" s="138"/>
    </row>
    <row r="239" spans="7:7" ht="23.1" customHeight="1" x14ac:dyDescent="0.35"/>
    <row r="240" spans="7:7" ht="23.1" customHeight="1" x14ac:dyDescent="0.35"/>
    <row r="241" spans="7:7" s="130" customFormat="1" ht="22.5" customHeight="1" x14ac:dyDescent="0.35">
      <c r="G241" s="138"/>
    </row>
    <row r="242" spans="7:7" s="130" customFormat="1" ht="22.5" customHeight="1" x14ac:dyDescent="0.35">
      <c r="G242" s="138"/>
    </row>
    <row r="243" spans="7:7" s="130" customFormat="1" ht="22.5" customHeight="1" x14ac:dyDescent="0.35">
      <c r="G243" s="138"/>
    </row>
    <row r="244" spans="7:7" s="130" customFormat="1" ht="22.5" customHeight="1" x14ac:dyDescent="0.35">
      <c r="G244" s="138"/>
    </row>
    <row r="245" spans="7:7" s="130" customFormat="1" ht="22.5" customHeight="1" x14ac:dyDescent="0.35">
      <c r="G245" s="138"/>
    </row>
    <row r="246" spans="7:7" ht="22.5" customHeight="1" x14ac:dyDescent="0.35"/>
  </sheetData>
  <mergeCells count="5">
    <mergeCell ref="G7:G8"/>
    <mergeCell ref="B7:B8"/>
    <mergeCell ref="E7:F7"/>
    <mergeCell ref="C7:C8"/>
    <mergeCell ref="D7:D8"/>
  </mergeCells>
  <printOptions horizontalCentered="1"/>
  <pageMargins left="0" right="0" top="0.15748031496062992" bottom="0.15748031496062992" header="0" footer="0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843A-6772-4E59-A024-58D94768F4F5}">
  <sheetPr>
    <pageSetUpPr fitToPage="1"/>
  </sheetPr>
  <dimension ref="A1:J249"/>
  <sheetViews>
    <sheetView topLeftCell="A2" zoomScale="40" zoomScaleNormal="40" zoomScaleSheetLayoutView="50" workbookViewId="0">
      <pane xSplit="1" ySplit="8" topLeftCell="B10" activePane="bottomRight" state="frozen"/>
      <selection activeCell="A2" sqref="A2"/>
      <selection pane="topRight" activeCell="B2" sqref="B2"/>
      <selection pane="bottomLeft" activeCell="A10" sqref="A10"/>
      <selection pane="bottomRight" activeCell="H32" sqref="H32"/>
    </sheetView>
  </sheetViews>
  <sheetFormatPr baseColWidth="10" defaultColWidth="11.42578125" defaultRowHeight="14.25" x14ac:dyDescent="0.2"/>
  <cols>
    <col min="1" max="1" width="11.42578125" style="2"/>
    <col min="2" max="2" width="8" style="2" customWidth="1"/>
    <col min="3" max="3" width="59.5703125" style="2" bestFit="1" customWidth="1"/>
    <col min="4" max="4" width="61.5703125" style="2" customWidth="1"/>
    <col min="5" max="5" width="21.140625" style="2" customWidth="1"/>
    <col min="6" max="7" width="34.42578125" style="1" customWidth="1"/>
    <col min="8" max="9" width="37.28515625" style="1" customWidth="1"/>
    <col min="10" max="10" width="32.7109375" style="1" customWidth="1"/>
    <col min="11" max="16384" width="11.42578125" style="2"/>
  </cols>
  <sheetData>
    <row r="1" spans="1:10" ht="27.95" customHeight="1" x14ac:dyDescent="0.2">
      <c r="A1" s="3"/>
    </row>
    <row r="2" spans="1:10" ht="27.95" customHeight="1" x14ac:dyDescent="0.35">
      <c r="A2" s="3"/>
      <c r="D2" s="4" t="s">
        <v>29</v>
      </c>
      <c r="E2" s="5" t="s">
        <v>30</v>
      </c>
    </row>
    <row r="3" spans="1:10" ht="27.95" customHeight="1" x14ac:dyDescent="0.35">
      <c r="A3" s="3"/>
      <c r="D3" s="4" t="s">
        <v>71</v>
      </c>
      <c r="E3" s="5" t="s">
        <v>75</v>
      </c>
    </row>
    <row r="4" spans="1:10" ht="27.95" customHeight="1" x14ac:dyDescent="0.35">
      <c r="A4" s="3"/>
      <c r="D4" s="4" t="s">
        <v>1</v>
      </c>
      <c r="E4" s="5" t="s">
        <v>115</v>
      </c>
    </row>
    <row r="5" spans="1:10" ht="27.95" customHeight="1" x14ac:dyDescent="0.35">
      <c r="A5" s="3"/>
      <c r="D5" s="4" t="s">
        <v>2</v>
      </c>
      <c r="E5" s="5" t="s">
        <v>116</v>
      </c>
    </row>
    <row r="6" spans="1:10" ht="27.95" customHeight="1" thickBot="1" x14ac:dyDescent="0.25">
      <c r="A6" s="3"/>
    </row>
    <row r="7" spans="1:10" ht="33.75" customHeight="1" thickBot="1" x14ac:dyDescent="0.25">
      <c r="A7" s="3"/>
      <c r="B7" s="166" t="s">
        <v>3</v>
      </c>
      <c r="C7" s="172" t="s">
        <v>4</v>
      </c>
      <c r="D7" s="168" t="s">
        <v>43</v>
      </c>
      <c r="E7" s="170" t="s">
        <v>31</v>
      </c>
      <c r="F7" s="161" t="s">
        <v>6</v>
      </c>
      <c r="G7" s="162"/>
      <c r="H7" s="162"/>
      <c r="I7" s="163"/>
      <c r="J7" s="164" t="s">
        <v>77</v>
      </c>
    </row>
    <row r="8" spans="1:10" ht="25.5" customHeight="1" thickBot="1" x14ac:dyDescent="0.25">
      <c r="A8" s="3"/>
      <c r="B8" s="167"/>
      <c r="C8" s="173"/>
      <c r="D8" s="169"/>
      <c r="E8" s="171"/>
      <c r="F8" s="49" t="s">
        <v>44</v>
      </c>
      <c r="G8" s="51" t="s">
        <v>35</v>
      </c>
      <c r="H8" s="40" t="s">
        <v>45</v>
      </c>
      <c r="I8" s="41" t="s">
        <v>76</v>
      </c>
      <c r="J8" s="165"/>
    </row>
    <row r="9" spans="1:10" s="13" customFormat="1" ht="21" customHeight="1" x14ac:dyDescent="0.3">
      <c r="A9" s="6"/>
      <c r="B9" s="7"/>
      <c r="C9" s="119"/>
      <c r="D9" s="11"/>
      <c r="E9" s="9"/>
      <c r="F9" s="10"/>
      <c r="G9" s="120"/>
      <c r="H9" s="121"/>
      <c r="I9" s="25"/>
      <c r="J9" s="26"/>
    </row>
    <row r="10" spans="1:10" s="17" customFormat="1" ht="30" customHeight="1" x14ac:dyDescent="0.35">
      <c r="B10" s="15">
        <f>SUBTOTAL(103,$C$10:C10)</f>
        <v>1</v>
      </c>
      <c r="C10" s="139" t="s">
        <v>9</v>
      </c>
      <c r="D10" s="139" t="s">
        <v>56</v>
      </c>
      <c r="E10" s="140">
        <v>2</v>
      </c>
      <c r="F10" s="141">
        <v>2163</v>
      </c>
      <c r="G10" s="54">
        <v>6100.14</v>
      </c>
      <c r="H10" s="142">
        <v>0</v>
      </c>
      <c r="I10" s="114">
        <f t="shared" ref="I10:I47" si="0">-G10+F10+H10</f>
        <v>-3937.1400000000003</v>
      </c>
      <c r="J10" s="115">
        <v>-7687.6300000000047</v>
      </c>
    </row>
    <row r="11" spans="1:10" s="17" customFormat="1" ht="30" customHeight="1" x14ac:dyDescent="0.35">
      <c r="B11" s="15">
        <f>SUBTOTAL(103,$C$10:C11)</f>
        <v>2</v>
      </c>
      <c r="C11" s="139" t="s">
        <v>10</v>
      </c>
      <c r="D11" s="139" t="s">
        <v>48</v>
      </c>
      <c r="E11" s="140">
        <v>6</v>
      </c>
      <c r="F11" s="141">
        <v>10200</v>
      </c>
      <c r="G11" s="54">
        <v>17751.009999999998</v>
      </c>
      <c r="H11" s="142">
        <v>0</v>
      </c>
      <c r="I11" s="114">
        <f t="shared" si="0"/>
        <v>-7551.0099999999984</v>
      </c>
      <c r="J11" s="115">
        <v>-158845.09000000011</v>
      </c>
    </row>
    <row r="12" spans="1:10" s="17" customFormat="1" ht="30" customHeight="1" x14ac:dyDescent="0.35">
      <c r="B12" s="15">
        <f>SUBTOTAL(103,$C$10:C12)</f>
        <v>3</v>
      </c>
      <c r="C12" s="139" t="s">
        <v>10</v>
      </c>
      <c r="D12" s="139" t="s">
        <v>61</v>
      </c>
      <c r="E12" s="140">
        <v>5</v>
      </c>
      <c r="F12" s="141">
        <v>10248</v>
      </c>
      <c r="G12" s="54">
        <v>7599.0599999999995</v>
      </c>
      <c r="H12" s="142">
        <v>0</v>
      </c>
      <c r="I12" s="114">
        <f t="shared" si="0"/>
        <v>2648.9400000000005</v>
      </c>
      <c r="J12" s="115">
        <v>-75108.389999999985</v>
      </c>
    </row>
    <row r="13" spans="1:10" s="17" customFormat="1" ht="30" customHeight="1" x14ac:dyDescent="0.35">
      <c r="B13" s="15">
        <f>SUBTOTAL(103,$C$10:C13)</f>
        <v>4</v>
      </c>
      <c r="C13" s="139" t="s">
        <v>10</v>
      </c>
      <c r="D13" s="139" t="s">
        <v>47</v>
      </c>
      <c r="E13" s="140">
        <v>4</v>
      </c>
      <c r="F13" s="141">
        <v>11080</v>
      </c>
      <c r="G13" s="54">
        <v>11650.87</v>
      </c>
      <c r="H13" s="142">
        <v>0</v>
      </c>
      <c r="I13" s="114">
        <f t="shared" ref="I13:I14" si="1">-G13+F13+H13</f>
        <v>-570.8700000000008</v>
      </c>
      <c r="J13" s="115">
        <v>-158845.09000000011</v>
      </c>
    </row>
    <row r="14" spans="1:10" s="17" customFormat="1" ht="30" customHeight="1" x14ac:dyDescent="0.35">
      <c r="B14" s="15">
        <f>SUBTOTAL(103,$C$10:C14)</f>
        <v>5</v>
      </c>
      <c r="C14" s="139" t="s">
        <v>84</v>
      </c>
      <c r="D14" s="139" t="s">
        <v>56</v>
      </c>
      <c r="E14" s="140">
        <v>2</v>
      </c>
      <c r="F14" s="141">
        <v>4170</v>
      </c>
      <c r="G14" s="54">
        <v>6601.9500000000007</v>
      </c>
      <c r="H14" s="142">
        <v>0</v>
      </c>
      <c r="I14" s="114">
        <f t="shared" si="1"/>
        <v>-2431.9500000000007</v>
      </c>
      <c r="J14" s="115">
        <v>-75108.389999999985</v>
      </c>
    </row>
    <row r="15" spans="1:10" s="17" customFormat="1" ht="30" customHeight="1" x14ac:dyDescent="0.35">
      <c r="B15" s="15">
        <f>SUBTOTAL(103,$C$10:C15)</f>
        <v>6</v>
      </c>
      <c r="C15" s="139" t="s">
        <v>84</v>
      </c>
      <c r="D15" s="139" t="s">
        <v>58</v>
      </c>
      <c r="E15" s="140">
        <v>3</v>
      </c>
      <c r="F15" s="141">
        <v>8842.4599999999991</v>
      </c>
      <c r="G15" s="54">
        <v>9117.85</v>
      </c>
      <c r="H15" s="142">
        <v>0</v>
      </c>
      <c r="I15" s="114">
        <f t="shared" ref="I15" si="2">-G15+F15+H15</f>
        <v>-275.39000000000124</v>
      </c>
      <c r="J15" s="115">
        <v>0</v>
      </c>
    </row>
    <row r="16" spans="1:10" s="17" customFormat="1" ht="30" customHeight="1" x14ac:dyDescent="0.35">
      <c r="B16" s="15">
        <f>SUBTOTAL(103,$C$10:C16)</f>
        <v>7</v>
      </c>
      <c r="C16" s="139" t="s">
        <v>84</v>
      </c>
      <c r="D16" s="139" t="s">
        <v>101</v>
      </c>
      <c r="E16" s="140">
        <v>2</v>
      </c>
      <c r="F16" s="141">
        <v>0</v>
      </c>
      <c r="G16" s="54">
        <v>7599.0599999999995</v>
      </c>
      <c r="H16" s="142">
        <v>0</v>
      </c>
      <c r="I16" s="114">
        <f t="shared" si="0"/>
        <v>-7599.0599999999995</v>
      </c>
      <c r="J16" s="115">
        <v>0</v>
      </c>
    </row>
    <row r="17" spans="1:10" s="17" customFormat="1" ht="30" customHeight="1" x14ac:dyDescent="0.35">
      <c r="B17" s="15">
        <f>SUBTOTAL(103,$C$10:C17)</f>
        <v>8</v>
      </c>
      <c r="C17" s="139" t="s">
        <v>90</v>
      </c>
      <c r="D17" s="139" t="s">
        <v>46</v>
      </c>
      <c r="E17" s="140">
        <v>4</v>
      </c>
      <c r="F17" s="141">
        <v>0</v>
      </c>
      <c r="G17" s="54">
        <v>9652.02</v>
      </c>
      <c r="H17" s="142">
        <v>0</v>
      </c>
      <c r="I17" s="114">
        <f t="shared" si="0"/>
        <v>-9652.02</v>
      </c>
      <c r="J17" s="115">
        <v>-40277.060000000005</v>
      </c>
    </row>
    <row r="18" spans="1:10" s="17" customFormat="1" ht="30" customHeight="1" x14ac:dyDescent="0.35">
      <c r="B18" s="15">
        <f>SUBTOTAL(103,$C$10:C18)</f>
        <v>9</v>
      </c>
      <c r="C18" s="139" t="s">
        <v>91</v>
      </c>
      <c r="D18" s="139" t="s">
        <v>49</v>
      </c>
      <c r="E18" s="140">
        <v>4</v>
      </c>
      <c r="F18" s="141">
        <v>14037.62</v>
      </c>
      <c r="G18" s="54">
        <v>14152.05</v>
      </c>
      <c r="H18" s="142">
        <v>0</v>
      </c>
      <c r="I18" s="114">
        <f t="shared" ref="I18" si="3">-G18+F18+H18</f>
        <v>-114.42999999999847</v>
      </c>
      <c r="J18" s="115">
        <v>-27503.66</v>
      </c>
    </row>
    <row r="19" spans="1:10" s="17" customFormat="1" ht="30" customHeight="1" x14ac:dyDescent="0.35">
      <c r="B19" s="15">
        <f>SUBTOTAL(103,$C$10:C19)</f>
        <v>10</v>
      </c>
      <c r="C19" s="139" t="s">
        <v>14</v>
      </c>
      <c r="D19" s="139" t="s">
        <v>52</v>
      </c>
      <c r="E19" s="140">
        <v>8</v>
      </c>
      <c r="F19" s="141">
        <v>13511</v>
      </c>
      <c r="G19" s="54">
        <v>25402.3</v>
      </c>
      <c r="H19" s="142">
        <v>0</v>
      </c>
      <c r="I19" s="114">
        <f t="shared" si="0"/>
        <v>-11891.3</v>
      </c>
      <c r="J19" s="115">
        <v>25362.369999999821</v>
      </c>
    </row>
    <row r="20" spans="1:10" s="17" customFormat="1" ht="30" customHeight="1" x14ac:dyDescent="0.35">
      <c r="B20" s="15">
        <f>SUBTOTAL(103,$C$10:C20)</f>
        <v>11</v>
      </c>
      <c r="C20" s="139" t="s">
        <v>14</v>
      </c>
      <c r="D20" s="139" t="s">
        <v>114</v>
      </c>
      <c r="E20" s="140">
        <v>6</v>
      </c>
      <c r="F20" s="141">
        <v>11437.2</v>
      </c>
      <c r="G20" s="54">
        <v>18785.11</v>
      </c>
      <c r="H20" s="142"/>
      <c r="I20" s="114"/>
      <c r="J20" s="115"/>
    </row>
    <row r="21" spans="1:10" s="17" customFormat="1" ht="30" customHeight="1" x14ac:dyDescent="0.35">
      <c r="A21" s="17" t="s">
        <v>102</v>
      </c>
      <c r="B21" s="15">
        <f>SUBTOTAL(103,$C$10:C21)</f>
        <v>12</v>
      </c>
      <c r="C21" s="139" t="s">
        <v>14</v>
      </c>
      <c r="D21" s="139" t="s">
        <v>50</v>
      </c>
      <c r="E21" s="140">
        <v>4</v>
      </c>
      <c r="F21" s="141">
        <v>17976.8</v>
      </c>
      <c r="G21" s="54">
        <v>12616.14</v>
      </c>
      <c r="H21" s="142">
        <v>0</v>
      </c>
      <c r="I21" s="114">
        <f>-G21+F21+H21</f>
        <v>5360.66</v>
      </c>
      <c r="J21" s="115">
        <v>10543.979999999996</v>
      </c>
    </row>
    <row r="22" spans="1:10" s="17" customFormat="1" ht="30" customHeight="1" x14ac:dyDescent="0.35">
      <c r="B22" s="15">
        <f>SUBTOTAL(103,$C$10:C22)</f>
        <v>13</v>
      </c>
      <c r="C22" s="139" t="s">
        <v>14</v>
      </c>
      <c r="D22" s="139" t="s">
        <v>53</v>
      </c>
      <c r="E22" s="140">
        <v>3</v>
      </c>
      <c r="F22" s="141">
        <v>11490</v>
      </c>
      <c r="G22" s="54">
        <v>9636.7800000000007</v>
      </c>
      <c r="H22" s="142">
        <v>0</v>
      </c>
      <c r="I22" s="114">
        <f t="shared" ref="I22:I23" si="4">-G22+F22+H22</f>
        <v>1853.2199999999993</v>
      </c>
      <c r="J22" s="115">
        <v>10543.979999999996</v>
      </c>
    </row>
    <row r="23" spans="1:10" s="17" customFormat="1" ht="30" customHeight="1" x14ac:dyDescent="0.35">
      <c r="B23" s="15">
        <f>SUBTOTAL(103,$C$10:C23)</f>
        <v>14</v>
      </c>
      <c r="C23" s="139" t="s">
        <v>14</v>
      </c>
      <c r="D23" s="139" t="s">
        <v>103</v>
      </c>
      <c r="E23" s="140">
        <v>4</v>
      </c>
      <c r="F23" s="141">
        <v>5072</v>
      </c>
      <c r="G23" s="54">
        <v>13703.83</v>
      </c>
      <c r="H23" s="142">
        <v>0</v>
      </c>
      <c r="I23" s="114">
        <f t="shared" si="4"/>
        <v>-8631.83</v>
      </c>
      <c r="J23" s="115">
        <v>10543.979999999996</v>
      </c>
    </row>
    <row r="24" spans="1:10" s="17" customFormat="1" ht="30" customHeight="1" x14ac:dyDescent="0.35">
      <c r="B24" s="15">
        <f>SUBTOTAL(103,$C$10:C24)</f>
        <v>15</v>
      </c>
      <c r="C24" s="139" t="s">
        <v>14</v>
      </c>
      <c r="D24" s="139" t="s">
        <v>51</v>
      </c>
      <c r="E24" s="140">
        <v>3</v>
      </c>
      <c r="F24" s="141">
        <v>14788.2</v>
      </c>
      <c r="G24" s="54">
        <v>16051.85</v>
      </c>
      <c r="H24" s="142">
        <v>0</v>
      </c>
      <c r="I24" s="114">
        <f t="shared" ref="I24" si="5">-G24+F24+H24</f>
        <v>-1263.6499999999996</v>
      </c>
      <c r="J24" s="115">
        <v>-2474.5599999999395</v>
      </c>
    </row>
    <row r="25" spans="1:10" s="17" customFormat="1" ht="30" customHeight="1" x14ac:dyDescent="0.35">
      <c r="B25" s="15">
        <f>SUBTOTAL(103,$C$10:C25)</f>
        <v>16</v>
      </c>
      <c r="C25" s="139" t="s">
        <v>37</v>
      </c>
      <c r="D25" s="139" t="s">
        <v>52</v>
      </c>
      <c r="E25" s="140">
        <v>7</v>
      </c>
      <c r="F25" s="141">
        <v>24810.75</v>
      </c>
      <c r="G25" s="54">
        <v>21837.06</v>
      </c>
      <c r="H25" s="142">
        <v>0</v>
      </c>
      <c r="I25" s="114">
        <f t="shared" si="0"/>
        <v>2973.6899999999987</v>
      </c>
      <c r="J25" s="115">
        <v>-20471.172500000102</v>
      </c>
    </row>
    <row r="26" spans="1:10" s="17" customFormat="1" ht="30" customHeight="1" x14ac:dyDescent="0.35">
      <c r="B26" s="15">
        <f>SUBTOTAL(103,$C$10:C26)</f>
        <v>17</v>
      </c>
      <c r="C26" s="139" t="s">
        <v>37</v>
      </c>
      <c r="D26" s="139" t="s">
        <v>53</v>
      </c>
      <c r="E26" s="140">
        <v>4</v>
      </c>
      <c r="F26" s="141">
        <v>12682.5</v>
      </c>
      <c r="G26" s="54">
        <v>12185.04</v>
      </c>
      <c r="H26" s="142">
        <v>0</v>
      </c>
      <c r="I26" s="114">
        <f t="shared" si="0"/>
        <v>497.45999999999913</v>
      </c>
      <c r="J26" s="115">
        <v>-156428.20999999996</v>
      </c>
    </row>
    <row r="27" spans="1:10" s="17" customFormat="1" ht="30" customHeight="1" x14ac:dyDescent="0.35">
      <c r="B27" s="15">
        <f>SUBTOTAL(103,$C$10:C27)</f>
        <v>18</v>
      </c>
      <c r="C27" s="139" t="s">
        <v>38</v>
      </c>
      <c r="D27" s="139" t="s">
        <v>54</v>
      </c>
      <c r="E27" s="140">
        <v>2</v>
      </c>
      <c r="F27" s="141">
        <v>0</v>
      </c>
      <c r="G27" s="54">
        <v>5066.04</v>
      </c>
      <c r="H27" s="142">
        <v>0</v>
      </c>
      <c r="I27" s="114">
        <f t="shared" si="0"/>
        <v>-5066.04</v>
      </c>
      <c r="J27" s="115">
        <v>-435496.05227272701</v>
      </c>
    </row>
    <row r="28" spans="1:10" s="17" customFormat="1" ht="30" customHeight="1" x14ac:dyDescent="0.35">
      <c r="B28" s="15">
        <f>SUBTOTAL(103,$C$10:C28)</f>
        <v>19</v>
      </c>
      <c r="C28" s="139" t="s">
        <v>18</v>
      </c>
      <c r="D28" s="139" t="s">
        <v>50</v>
      </c>
      <c r="E28" s="140">
        <v>10</v>
      </c>
      <c r="F28" s="141">
        <v>28410.28</v>
      </c>
      <c r="G28" s="54">
        <v>33887.189999999995</v>
      </c>
      <c r="H28" s="142">
        <v>0</v>
      </c>
      <c r="I28" s="114">
        <f t="shared" si="0"/>
        <v>-5476.9099999999962</v>
      </c>
      <c r="J28" s="115">
        <v>-197672.02249999903</v>
      </c>
    </row>
    <row r="29" spans="1:10" s="17" customFormat="1" ht="30" hidden="1" customHeight="1" x14ac:dyDescent="0.35">
      <c r="B29" s="15">
        <f>SUBTOTAL(103,$C$10:C29)</f>
        <v>19</v>
      </c>
      <c r="C29" s="139" t="s">
        <v>19</v>
      </c>
      <c r="D29" s="139" t="s">
        <v>50</v>
      </c>
      <c r="E29" s="140"/>
      <c r="F29" s="141">
        <v>0</v>
      </c>
      <c r="G29" s="54">
        <v>0</v>
      </c>
      <c r="H29" s="142">
        <v>0</v>
      </c>
      <c r="I29" s="114">
        <f t="shared" ref="I29" si="6">-G29+F29+H29</f>
        <v>0</v>
      </c>
      <c r="J29" s="115">
        <v>-197672.02249999903</v>
      </c>
    </row>
    <row r="30" spans="1:10" s="17" customFormat="1" ht="30" hidden="1" customHeight="1" x14ac:dyDescent="0.35">
      <c r="B30" s="15">
        <f>SUBTOTAL(103,$C$10:C30)</f>
        <v>19</v>
      </c>
      <c r="C30" s="139" t="s">
        <v>20</v>
      </c>
      <c r="D30" s="139" t="s">
        <v>55</v>
      </c>
      <c r="E30" s="140"/>
      <c r="F30" s="141">
        <v>0</v>
      </c>
      <c r="G30" s="54">
        <v>0</v>
      </c>
      <c r="H30" s="142">
        <v>0</v>
      </c>
      <c r="I30" s="114">
        <f t="shared" si="0"/>
        <v>0</v>
      </c>
      <c r="J30" s="115">
        <v>21150.799999999814</v>
      </c>
    </row>
    <row r="31" spans="1:10" s="17" customFormat="1" ht="30" customHeight="1" x14ac:dyDescent="0.35">
      <c r="B31" s="15">
        <f>SUBTOTAL(103,$C$10:C31)</f>
        <v>20</v>
      </c>
      <c r="C31" s="139" t="s">
        <v>20</v>
      </c>
      <c r="D31" s="139" t="s">
        <v>55</v>
      </c>
      <c r="E31" s="140">
        <v>5</v>
      </c>
      <c r="F31" s="141">
        <v>4270</v>
      </c>
      <c r="G31" s="54">
        <v>16662.940000000002</v>
      </c>
      <c r="H31" s="142">
        <v>0</v>
      </c>
      <c r="I31" s="114">
        <f t="shared" si="0"/>
        <v>-12392.940000000002</v>
      </c>
      <c r="J31" s="115">
        <v>-431296.54000000004</v>
      </c>
    </row>
    <row r="32" spans="1:10" s="17" customFormat="1" ht="30" customHeight="1" x14ac:dyDescent="0.35">
      <c r="B32" s="15">
        <f>SUBTOTAL(103,$C$10:C32)</f>
        <v>21</v>
      </c>
      <c r="C32" s="139" t="s">
        <v>20</v>
      </c>
      <c r="D32" s="139" t="s">
        <v>57</v>
      </c>
      <c r="E32" s="140">
        <v>4</v>
      </c>
      <c r="F32" s="141">
        <v>0</v>
      </c>
      <c r="G32" s="54">
        <v>13103.619999999999</v>
      </c>
      <c r="H32" s="142"/>
      <c r="I32" s="114"/>
      <c r="J32" s="115"/>
    </row>
    <row r="33" spans="2:10" s="17" customFormat="1" ht="30" customHeight="1" x14ac:dyDescent="0.35">
      <c r="B33" s="15">
        <f>SUBTOTAL(103,$C$10:C33)</f>
        <v>22</v>
      </c>
      <c r="C33" s="139" t="s">
        <v>39</v>
      </c>
      <c r="D33" s="139" t="s">
        <v>56</v>
      </c>
      <c r="E33" s="140">
        <v>3</v>
      </c>
      <c r="F33" s="141">
        <v>0</v>
      </c>
      <c r="G33" s="54">
        <v>9652.02</v>
      </c>
      <c r="H33" s="142">
        <v>0</v>
      </c>
      <c r="I33" s="114">
        <f t="shared" si="0"/>
        <v>-9652.02</v>
      </c>
      <c r="J33" s="115">
        <v>-517217.54428571695</v>
      </c>
    </row>
    <row r="34" spans="2:10" s="17" customFormat="1" ht="30" customHeight="1" x14ac:dyDescent="0.35">
      <c r="B34" s="15">
        <f>SUBTOTAL(103,$C$10:C34)</f>
        <v>23</v>
      </c>
      <c r="C34" s="139" t="s">
        <v>40</v>
      </c>
      <c r="D34" s="139" t="s">
        <v>50</v>
      </c>
      <c r="E34" s="140">
        <v>4</v>
      </c>
      <c r="F34" s="141">
        <v>9600</v>
      </c>
      <c r="G34" s="54">
        <v>12167.92</v>
      </c>
      <c r="H34" s="142">
        <v>0</v>
      </c>
      <c r="I34" s="114">
        <f>-G34+F34+H34</f>
        <v>-2567.92</v>
      </c>
      <c r="J34" s="115">
        <v>0</v>
      </c>
    </row>
    <row r="35" spans="2:10" s="17" customFormat="1" ht="30" customHeight="1" x14ac:dyDescent="0.35">
      <c r="B35" s="15">
        <f>SUBTOTAL(103,$C$10:C35)</f>
        <v>24</v>
      </c>
      <c r="C35" s="139" t="s">
        <v>40</v>
      </c>
      <c r="D35" s="139" t="s">
        <v>99</v>
      </c>
      <c r="E35" s="140">
        <v>3</v>
      </c>
      <c r="F35" s="141">
        <v>9600</v>
      </c>
      <c r="G35" s="54">
        <v>10600.17</v>
      </c>
      <c r="H35" s="142"/>
      <c r="I35" s="114"/>
      <c r="J35" s="115"/>
    </row>
    <row r="36" spans="2:10" s="17" customFormat="1" ht="30" customHeight="1" x14ac:dyDescent="0.35">
      <c r="B36" s="15">
        <f>SUBTOTAL(103,$C$10:C36)</f>
        <v>25</v>
      </c>
      <c r="C36" s="139" t="s">
        <v>40</v>
      </c>
      <c r="D36" s="139" t="s">
        <v>59</v>
      </c>
      <c r="E36" s="140">
        <v>3</v>
      </c>
      <c r="F36" s="141">
        <v>9600</v>
      </c>
      <c r="G36" s="54">
        <v>9634.9</v>
      </c>
      <c r="H36" s="142">
        <v>0</v>
      </c>
      <c r="I36" s="114">
        <f t="shared" si="0"/>
        <v>-34.899999999999636</v>
      </c>
      <c r="J36" s="115">
        <v>-155703.50000000093</v>
      </c>
    </row>
    <row r="37" spans="2:10" s="17" customFormat="1" ht="30" customHeight="1" x14ac:dyDescent="0.35">
      <c r="B37" s="15">
        <f>SUBTOTAL(103,$C$10:C37)</f>
        <v>26</v>
      </c>
      <c r="C37" s="139" t="s">
        <v>40</v>
      </c>
      <c r="D37" s="139" t="s">
        <v>60</v>
      </c>
      <c r="E37" s="140">
        <v>1</v>
      </c>
      <c r="F37" s="141">
        <v>0</v>
      </c>
      <c r="G37" s="54">
        <v>2533.02</v>
      </c>
      <c r="H37" s="142">
        <v>0</v>
      </c>
      <c r="I37" s="114">
        <f t="shared" si="0"/>
        <v>-2533.02</v>
      </c>
      <c r="J37" s="115">
        <v>0</v>
      </c>
    </row>
    <row r="38" spans="2:10" s="17" customFormat="1" ht="30" hidden="1" customHeight="1" x14ac:dyDescent="0.35">
      <c r="B38" s="15">
        <f>SUBTOTAL(103,$C$10:C38)</f>
        <v>26</v>
      </c>
      <c r="C38" s="139" t="s">
        <v>105</v>
      </c>
      <c r="D38" s="139" t="s">
        <v>56</v>
      </c>
      <c r="E38" s="140"/>
      <c r="F38" s="141">
        <v>0</v>
      </c>
      <c r="G38" s="54">
        <v>0</v>
      </c>
      <c r="H38" s="142">
        <v>0</v>
      </c>
      <c r="I38" s="114">
        <f t="shared" ref="I38:I39" si="7">-G38+F38+H38</f>
        <v>0</v>
      </c>
      <c r="J38" s="115">
        <v>0</v>
      </c>
    </row>
    <row r="39" spans="2:10" s="17" customFormat="1" ht="30" customHeight="1" x14ac:dyDescent="0.35">
      <c r="B39" s="15">
        <f>SUBTOTAL(103,$C$10:C39)</f>
        <v>27</v>
      </c>
      <c r="C39" s="139" t="s">
        <v>24</v>
      </c>
      <c r="D39" s="139" t="s">
        <v>56</v>
      </c>
      <c r="E39" s="140">
        <v>1</v>
      </c>
      <c r="F39" s="141">
        <v>5430</v>
      </c>
      <c r="G39" s="54">
        <v>4051.81</v>
      </c>
      <c r="H39" s="142">
        <v>0</v>
      </c>
      <c r="I39" s="114">
        <f t="shared" si="7"/>
        <v>1378.19</v>
      </c>
      <c r="J39" s="115">
        <v>-3363.0600000001723</v>
      </c>
    </row>
    <row r="40" spans="2:10" s="17" customFormat="1" ht="30" customHeight="1" x14ac:dyDescent="0.35">
      <c r="B40" s="15">
        <f>SUBTOTAL(103,$C$10:C40)</f>
        <v>28</v>
      </c>
      <c r="C40" s="139" t="s">
        <v>24</v>
      </c>
      <c r="D40" s="139" t="s">
        <v>50</v>
      </c>
      <c r="E40" s="140">
        <v>6</v>
      </c>
      <c r="F40" s="141">
        <v>21600</v>
      </c>
      <c r="G40" s="54">
        <v>20252.189999999999</v>
      </c>
      <c r="H40" s="142">
        <v>0</v>
      </c>
      <c r="I40" s="114">
        <f t="shared" si="0"/>
        <v>1347.8100000000013</v>
      </c>
      <c r="J40" s="115">
        <v>-3363.0600000001723</v>
      </c>
    </row>
    <row r="41" spans="2:10" s="17" customFormat="1" ht="30" customHeight="1" x14ac:dyDescent="0.35">
      <c r="B41" s="15">
        <f>SUBTOTAL(103,$C$10:C41)</f>
        <v>29</v>
      </c>
      <c r="C41" s="139" t="s">
        <v>24</v>
      </c>
      <c r="D41" s="139" t="s">
        <v>53</v>
      </c>
      <c r="E41" s="140">
        <v>7</v>
      </c>
      <c r="F41" s="141">
        <v>33558.71</v>
      </c>
      <c r="G41" s="54">
        <v>22321.75</v>
      </c>
      <c r="H41" s="142">
        <v>0</v>
      </c>
      <c r="I41" s="114">
        <f t="shared" si="0"/>
        <v>11236.96</v>
      </c>
      <c r="J41" s="115">
        <v>196844.26099999988</v>
      </c>
    </row>
    <row r="42" spans="2:10" s="17" customFormat="1" ht="30" customHeight="1" x14ac:dyDescent="0.35">
      <c r="B42" s="15">
        <f>SUBTOTAL(103,$C$10:C42)</f>
        <v>30</v>
      </c>
      <c r="C42" s="139" t="s">
        <v>24</v>
      </c>
      <c r="D42" s="139" t="s">
        <v>62</v>
      </c>
      <c r="E42" s="140">
        <v>10</v>
      </c>
      <c r="F42" s="141">
        <v>55970</v>
      </c>
      <c r="G42" s="54">
        <v>34455.990000000005</v>
      </c>
      <c r="H42" s="142">
        <v>15544.509999999995</v>
      </c>
      <c r="I42" s="114">
        <f t="shared" si="0"/>
        <v>37058.51999999999</v>
      </c>
      <c r="J42" s="115">
        <v>198596.91999999993</v>
      </c>
    </row>
    <row r="43" spans="2:10" s="17" customFormat="1" ht="30" customHeight="1" x14ac:dyDescent="0.35">
      <c r="B43" s="15">
        <f>SUBTOTAL(103,$C$10:C43)</f>
        <v>31</v>
      </c>
      <c r="C43" s="139" t="s">
        <v>24</v>
      </c>
      <c r="D43" s="139" t="s">
        <v>63</v>
      </c>
      <c r="E43" s="140">
        <v>6</v>
      </c>
      <c r="F43" s="141">
        <v>31260</v>
      </c>
      <c r="G43" s="54">
        <v>18769.870000000003</v>
      </c>
      <c r="H43" s="142">
        <v>6230.1299999999974</v>
      </c>
      <c r="I43" s="114">
        <f t="shared" ref="I43:I45" si="8">-G43+F43+H43</f>
        <v>18720.259999999995</v>
      </c>
      <c r="J43" s="115">
        <v>192326.07400000008</v>
      </c>
    </row>
    <row r="44" spans="2:10" s="17" customFormat="1" ht="30" customHeight="1" x14ac:dyDescent="0.35">
      <c r="B44" s="15">
        <f>SUBTOTAL(103,$C$10:C44)</f>
        <v>32</v>
      </c>
      <c r="C44" s="139" t="s">
        <v>89</v>
      </c>
      <c r="D44" s="139" t="s">
        <v>112</v>
      </c>
      <c r="E44" s="140">
        <v>6</v>
      </c>
      <c r="F44" s="141">
        <v>46999.5</v>
      </c>
      <c r="G44" s="54">
        <v>36600</v>
      </c>
      <c r="H44" s="142">
        <v>10399.5</v>
      </c>
      <c r="I44" s="114">
        <f t="shared" ref="I44" si="9">-G44+F44+H44</f>
        <v>20799</v>
      </c>
      <c r="J44" s="115">
        <v>0</v>
      </c>
    </row>
    <row r="45" spans="2:10" s="17" customFormat="1" ht="30" customHeight="1" x14ac:dyDescent="0.35">
      <c r="B45" s="15">
        <f>SUBTOTAL(103,$C$10:C45)</f>
        <v>33</v>
      </c>
      <c r="C45" s="139" t="s">
        <v>89</v>
      </c>
      <c r="D45" s="139" t="s">
        <v>64</v>
      </c>
      <c r="E45" s="140">
        <v>12</v>
      </c>
      <c r="F45" s="141">
        <v>0</v>
      </c>
      <c r="G45" s="54">
        <v>18300.420000000002</v>
      </c>
      <c r="H45" s="142">
        <v>0</v>
      </c>
      <c r="I45" s="114">
        <f t="shared" si="8"/>
        <v>-18300.420000000002</v>
      </c>
      <c r="J45" s="115">
        <v>0</v>
      </c>
    </row>
    <row r="46" spans="2:10" s="17" customFormat="1" ht="30" customHeight="1" x14ac:dyDescent="0.35">
      <c r="B46" s="15">
        <f>SUBTOTAL(103,$C$10:C46)</f>
        <v>34</v>
      </c>
      <c r="C46" s="139" t="s">
        <v>41</v>
      </c>
      <c r="D46" s="139" t="s">
        <v>50</v>
      </c>
      <c r="E46" s="140">
        <v>20</v>
      </c>
      <c r="F46" s="141">
        <v>49075</v>
      </c>
      <c r="G46" s="54">
        <v>61841.03</v>
      </c>
      <c r="H46" s="142">
        <v>20000</v>
      </c>
      <c r="I46" s="114">
        <f t="shared" si="0"/>
        <v>7233.9700000000012</v>
      </c>
      <c r="J46" s="115">
        <v>-376172.68350000307</v>
      </c>
    </row>
    <row r="47" spans="2:10" s="17" customFormat="1" ht="30" customHeight="1" thickBot="1" x14ac:dyDescent="0.4">
      <c r="B47" s="15">
        <f>SUBTOTAL(103,$C$10:C47)</f>
        <v>35</v>
      </c>
      <c r="C47" s="139" t="s">
        <v>41</v>
      </c>
      <c r="D47" s="139" t="s">
        <v>63</v>
      </c>
      <c r="E47" s="140">
        <v>5</v>
      </c>
      <c r="F47" s="141">
        <v>11750.7</v>
      </c>
      <c r="G47" s="54">
        <v>19788.73</v>
      </c>
      <c r="H47" s="142">
        <v>0</v>
      </c>
      <c r="I47" s="114">
        <f t="shared" si="0"/>
        <v>-8038.0299999999988</v>
      </c>
      <c r="J47" s="116">
        <v>-223425.43499999959</v>
      </c>
    </row>
    <row r="48" spans="2:10" s="14" customFormat="1" ht="30" customHeight="1" thickBot="1" x14ac:dyDescent="0.4">
      <c r="B48" s="117" t="s">
        <v>5</v>
      </c>
      <c r="C48" s="118"/>
      <c r="D48" s="18"/>
      <c r="E48" s="27">
        <f>SUM(E10:E47)</f>
        <v>179</v>
      </c>
      <c r="F48" s="60">
        <f>SUM(F10:F47)</f>
        <v>489633.72000000003</v>
      </c>
      <c r="G48" s="48">
        <f>SUM(G10:G47)</f>
        <v>570131.73</v>
      </c>
      <c r="H48" s="19">
        <f>SUM(H10:H47)</f>
        <v>52174.139999999992</v>
      </c>
      <c r="I48" s="42">
        <f>SUM(I10:I47)</f>
        <v>-6872.1700000000092</v>
      </c>
      <c r="J48" s="22"/>
    </row>
    <row r="49" spans="6:10" s="21" customFormat="1" ht="23.1" customHeight="1" x14ac:dyDescent="0.25">
      <c r="F49" s="22"/>
      <c r="G49" s="22"/>
      <c r="H49" s="22"/>
      <c r="I49" s="22"/>
      <c r="J49" s="22"/>
    </row>
    <row r="50" spans="6:10" s="23" customFormat="1" ht="22.5" customHeight="1" x14ac:dyDescent="0.25">
      <c r="F50" s="24"/>
      <c r="G50" s="24"/>
      <c r="H50" s="24"/>
      <c r="I50" s="24"/>
      <c r="J50" s="24"/>
    </row>
    <row r="51" spans="6:10" s="23" customFormat="1" ht="22.5" customHeight="1" x14ac:dyDescent="0.25"/>
    <row r="52" spans="6:10" s="23" customFormat="1" ht="22.5" customHeight="1" x14ac:dyDescent="0.25"/>
    <row r="53" spans="6:10" s="23" customFormat="1" ht="22.5" customHeight="1" x14ac:dyDescent="0.25"/>
    <row r="54" spans="6:10" s="23" customFormat="1" ht="22.5" customHeight="1" x14ac:dyDescent="0.25"/>
    <row r="55" spans="6:10" s="23" customFormat="1" ht="22.5" customHeight="1" x14ac:dyDescent="0.25"/>
    <row r="56" spans="6:10" s="23" customFormat="1" ht="22.5" customHeight="1" x14ac:dyDescent="0.25"/>
    <row r="57" spans="6:10" s="21" customFormat="1" ht="23.1" customHeight="1" x14ac:dyDescent="0.25">
      <c r="F57" s="23"/>
      <c r="G57" s="23"/>
      <c r="H57" s="23"/>
      <c r="I57" s="23"/>
    </row>
    <row r="58" spans="6:10" s="21" customFormat="1" ht="23.1" customHeight="1" x14ac:dyDescent="0.25">
      <c r="F58" s="23"/>
      <c r="G58" s="23"/>
      <c r="H58" s="23"/>
      <c r="I58" s="23"/>
    </row>
    <row r="59" spans="6:10" s="21" customFormat="1" ht="22.5" customHeight="1" x14ac:dyDescent="0.25">
      <c r="F59" s="23"/>
      <c r="G59" s="23"/>
      <c r="H59" s="23"/>
      <c r="I59" s="23"/>
    </row>
    <row r="60" spans="6:10" s="23" customFormat="1" ht="22.5" customHeight="1" x14ac:dyDescent="0.25"/>
    <row r="61" spans="6:10" s="23" customFormat="1" ht="22.5" customHeight="1" x14ac:dyDescent="0.25"/>
    <row r="62" spans="6:10" s="23" customFormat="1" ht="22.5" customHeight="1" x14ac:dyDescent="0.25"/>
    <row r="63" spans="6:10" s="23" customFormat="1" ht="22.5" customHeight="1" x14ac:dyDescent="0.25"/>
    <row r="64" spans="6:10" s="23" customFormat="1" ht="22.5" customHeight="1" x14ac:dyDescent="0.25"/>
    <row r="65" spans="6:10" s="23" customFormat="1" ht="22.5" customHeight="1" x14ac:dyDescent="0.25"/>
    <row r="66" spans="6:10" s="23" customFormat="1" ht="22.5" customHeight="1" x14ac:dyDescent="0.25">
      <c r="F66" s="24"/>
      <c r="G66" s="24"/>
      <c r="H66" s="24"/>
      <c r="I66" s="24"/>
      <c r="J66" s="24"/>
    </row>
    <row r="67" spans="6:10" s="23" customFormat="1" ht="22.5" customHeight="1" x14ac:dyDescent="0.25">
      <c r="F67" s="24"/>
      <c r="G67" s="24"/>
      <c r="H67" s="24"/>
      <c r="I67" s="24"/>
      <c r="J67" s="24"/>
    </row>
    <row r="68" spans="6:10" s="23" customFormat="1" ht="22.5" customHeight="1" x14ac:dyDescent="0.25">
      <c r="F68" s="24"/>
      <c r="G68" s="24"/>
      <c r="H68" s="24"/>
      <c r="I68" s="24"/>
      <c r="J68" s="24"/>
    </row>
    <row r="69" spans="6:10" s="23" customFormat="1" ht="22.5" customHeight="1" x14ac:dyDescent="0.25">
      <c r="F69" s="24"/>
      <c r="G69" s="24"/>
      <c r="H69" s="24"/>
      <c r="I69" s="24"/>
      <c r="J69" s="24"/>
    </row>
    <row r="70" spans="6:10" s="23" customFormat="1" ht="22.5" customHeight="1" x14ac:dyDescent="0.25">
      <c r="F70" s="24"/>
      <c r="G70" s="24"/>
      <c r="H70" s="24"/>
      <c r="I70" s="24"/>
      <c r="J70" s="24"/>
    </row>
    <row r="71" spans="6:10" s="23" customFormat="1" ht="22.5" customHeight="1" x14ac:dyDescent="0.25">
      <c r="F71" s="24"/>
      <c r="G71" s="24"/>
      <c r="H71" s="24"/>
      <c r="I71" s="24"/>
      <c r="J71" s="24"/>
    </row>
    <row r="72" spans="6:10" s="23" customFormat="1" ht="22.5" customHeight="1" x14ac:dyDescent="0.25">
      <c r="F72" s="24"/>
      <c r="G72" s="24"/>
      <c r="H72" s="24"/>
      <c r="I72" s="24"/>
      <c r="J72" s="24"/>
    </row>
    <row r="73" spans="6:10" s="23" customFormat="1" ht="22.5" customHeight="1" x14ac:dyDescent="0.25">
      <c r="F73" s="24"/>
      <c r="G73" s="24"/>
      <c r="H73" s="24"/>
      <c r="I73" s="24"/>
      <c r="J73" s="24"/>
    </row>
    <row r="74" spans="6:10" s="23" customFormat="1" ht="22.5" customHeight="1" x14ac:dyDescent="0.25">
      <c r="F74" s="24"/>
      <c r="G74" s="24"/>
      <c r="H74" s="24"/>
      <c r="I74" s="24"/>
      <c r="J74" s="24"/>
    </row>
    <row r="75" spans="6:10" s="23" customFormat="1" ht="22.5" customHeight="1" x14ac:dyDescent="0.25">
      <c r="F75" s="24"/>
      <c r="G75" s="24"/>
      <c r="H75" s="24"/>
      <c r="I75" s="24"/>
      <c r="J75" s="24"/>
    </row>
    <row r="76" spans="6:10" s="23" customFormat="1" ht="22.5" customHeight="1" x14ac:dyDescent="0.25">
      <c r="F76" s="24"/>
      <c r="G76" s="24"/>
      <c r="H76" s="24"/>
      <c r="I76" s="24"/>
      <c r="J76" s="24"/>
    </row>
    <row r="77" spans="6:10" s="23" customFormat="1" ht="22.5" customHeight="1" x14ac:dyDescent="0.25">
      <c r="F77" s="24"/>
      <c r="G77" s="24"/>
      <c r="H77" s="24"/>
      <c r="I77" s="24"/>
      <c r="J77" s="24"/>
    </row>
    <row r="78" spans="6:10" s="23" customFormat="1" ht="22.5" customHeight="1" x14ac:dyDescent="0.25">
      <c r="F78" s="24"/>
      <c r="G78" s="24"/>
      <c r="H78" s="24"/>
      <c r="I78" s="24"/>
      <c r="J78" s="24"/>
    </row>
    <row r="79" spans="6:10" s="23" customFormat="1" ht="22.5" customHeight="1" x14ac:dyDescent="0.25">
      <c r="F79" s="24"/>
      <c r="G79" s="24"/>
      <c r="H79" s="24"/>
      <c r="I79" s="24"/>
      <c r="J79" s="24"/>
    </row>
    <row r="80" spans="6:10" s="23" customFormat="1" ht="22.5" customHeight="1" x14ac:dyDescent="0.25">
      <c r="F80" s="24"/>
      <c r="G80" s="24"/>
      <c r="H80" s="24"/>
      <c r="I80" s="24"/>
      <c r="J80" s="24"/>
    </row>
    <row r="81" spans="6:10" s="23" customFormat="1" ht="22.5" customHeight="1" x14ac:dyDescent="0.25">
      <c r="F81" s="24"/>
      <c r="G81" s="24"/>
      <c r="H81" s="24"/>
      <c r="I81" s="24"/>
      <c r="J81" s="24"/>
    </row>
    <row r="82" spans="6:10" s="23" customFormat="1" ht="22.5" customHeight="1" x14ac:dyDescent="0.25">
      <c r="F82" s="24"/>
      <c r="G82" s="24"/>
      <c r="H82" s="24"/>
      <c r="I82" s="24"/>
      <c r="J82" s="24"/>
    </row>
    <row r="83" spans="6:10" s="23" customFormat="1" ht="22.5" customHeight="1" x14ac:dyDescent="0.25">
      <c r="F83" s="24"/>
      <c r="G83" s="24"/>
      <c r="H83" s="24"/>
      <c r="I83" s="24"/>
      <c r="J83" s="24"/>
    </row>
    <row r="84" spans="6:10" s="23" customFormat="1" ht="22.5" customHeight="1" x14ac:dyDescent="0.25">
      <c r="F84" s="24"/>
      <c r="G84" s="24"/>
      <c r="H84" s="24"/>
      <c r="I84" s="24"/>
      <c r="J84" s="24"/>
    </row>
    <row r="85" spans="6:10" s="23" customFormat="1" ht="22.5" customHeight="1" x14ac:dyDescent="0.25">
      <c r="F85" s="24"/>
      <c r="G85" s="24"/>
      <c r="H85" s="24"/>
      <c r="I85" s="24"/>
      <c r="J85" s="24"/>
    </row>
    <row r="86" spans="6:10" s="23" customFormat="1" ht="22.5" customHeight="1" x14ac:dyDescent="0.25">
      <c r="F86" s="24"/>
      <c r="G86" s="24"/>
      <c r="H86" s="24"/>
      <c r="I86" s="24"/>
      <c r="J86" s="24"/>
    </row>
    <row r="87" spans="6:10" s="23" customFormat="1" ht="22.5" customHeight="1" x14ac:dyDescent="0.25">
      <c r="F87" s="24"/>
      <c r="G87" s="24"/>
      <c r="H87" s="24"/>
      <c r="I87" s="24"/>
      <c r="J87" s="24"/>
    </row>
    <row r="88" spans="6:10" s="23" customFormat="1" ht="22.5" customHeight="1" x14ac:dyDescent="0.25">
      <c r="F88" s="24"/>
      <c r="G88" s="24"/>
      <c r="H88" s="24"/>
      <c r="I88" s="24"/>
      <c r="J88" s="24"/>
    </row>
    <row r="89" spans="6:10" s="23" customFormat="1" ht="22.5" customHeight="1" x14ac:dyDescent="0.25">
      <c r="F89" s="24"/>
      <c r="G89" s="24"/>
      <c r="H89" s="24"/>
      <c r="I89" s="24"/>
      <c r="J89" s="24"/>
    </row>
    <row r="90" spans="6:10" s="23" customFormat="1" ht="22.5" customHeight="1" x14ac:dyDescent="0.25">
      <c r="F90" s="24"/>
      <c r="G90" s="24"/>
      <c r="H90" s="24"/>
      <c r="I90" s="24"/>
      <c r="J90" s="24"/>
    </row>
    <row r="91" spans="6:10" s="23" customFormat="1" ht="22.5" customHeight="1" x14ac:dyDescent="0.25">
      <c r="F91" s="24"/>
      <c r="G91" s="24"/>
      <c r="H91" s="24"/>
      <c r="I91" s="24"/>
      <c r="J91" s="24"/>
    </row>
    <row r="92" spans="6:10" s="23" customFormat="1" ht="22.5" customHeight="1" x14ac:dyDescent="0.25">
      <c r="F92" s="24"/>
      <c r="G92" s="24"/>
      <c r="H92" s="24"/>
      <c r="I92" s="24"/>
      <c r="J92" s="24"/>
    </row>
    <row r="93" spans="6:10" s="23" customFormat="1" ht="22.5" customHeight="1" x14ac:dyDescent="0.25">
      <c r="F93" s="24"/>
      <c r="G93" s="24"/>
      <c r="H93" s="24"/>
      <c r="I93" s="24"/>
      <c r="J93" s="24"/>
    </row>
    <row r="94" spans="6:10" s="23" customFormat="1" ht="22.5" customHeight="1" x14ac:dyDescent="0.25">
      <c r="F94" s="24"/>
      <c r="G94" s="24"/>
      <c r="H94" s="24"/>
      <c r="I94" s="24"/>
      <c r="J94" s="24"/>
    </row>
    <row r="95" spans="6:10" s="23" customFormat="1" ht="22.5" customHeight="1" x14ac:dyDescent="0.25">
      <c r="F95" s="24"/>
      <c r="G95" s="24"/>
      <c r="H95" s="24"/>
      <c r="I95" s="24"/>
      <c r="J95" s="24"/>
    </row>
    <row r="96" spans="6:10" s="23" customFormat="1" ht="22.5" customHeight="1" x14ac:dyDescent="0.25">
      <c r="F96" s="24"/>
      <c r="G96" s="24"/>
      <c r="H96" s="24"/>
      <c r="I96" s="24"/>
      <c r="J96" s="24"/>
    </row>
    <row r="97" spans="6:10" s="23" customFormat="1" ht="22.5" customHeight="1" x14ac:dyDescent="0.25">
      <c r="F97" s="24"/>
      <c r="G97" s="24"/>
      <c r="H97" s="24"/>
      <c r="I97" s="24"/>
      <c r="J97" s="24"/>
    </row>
    <row r="98" spans="6:10" s="23" customFormat="1" ht="22.5" customHeight="1" x14ac:dyDescent="0.25">
      <c r="F98" s="24"/>
      <c r="G98" s="24"/>
      <c r="H98" s="24"/>
      <c r="I98" s="24"/>
      <c r="J98" s="24"/>
    </row>
    <row r="99" spans="6:10" s="23" customFormat="1" ht="22.5" customHeight="1" x14ac:dyDescent="0.25">
      <c r="F99" s="24"/>
      <c r="G99" s="24"/>
      <c r="H99" s="24"/>
      <c r="I99" s="24"/>
      <c r="J99" s="24"/>
    </row>
    <row r="100" spans="6:10" s="21" customFormat="1" ht="23.1" customHeight="1" x14ac:dyDescent="0.25">
      <c r="F100" s="22"/>
      <c r="G100" s="22"/>
      <c r="H100" s="22"/>
      <c r="I100" s="22"/>
      <c r="J100" s="22"/>
    </row>
    <row r="101" spans="6:10" s="23" customFormat="1" ht="22.5" customHeight="1" x14ac:dyDescent="0.25">
      <c r="F101" s="24"/>
      <c r="G101" s="24"/>
      <c r="H101" s="24"/>
      <c r="I101" s="24"/>
      <c r="J101" s="24"/>
    </row>
    <row r="102" spans="6:10" s="21" customFormat="1" ht="22.5" customHeight="1" x14ac:dyDescent="0.25">
      <c r="F102" s="22"/>
      <c r="G102" s="22"/>
      <c r="H102" s="22"/>
      <c r="I102" s="22"/>
      <c r="J102" s="22"/>
    </row>
    <row r="103" spans="6:10" s="21" customFormat="1" ht="22.5" customHeight="1" x14ac:dyDescent="0.25">
      <c r="F103" s="22"/>
      <c r="G103" s="22"/>
      <c r="H103" s="22"/>
      <c r="I103" s="22"/>
      <c r="J103" s="22"/>
    </row>
    <row r="104" spans="6:10" s="21" customFormat="1" ht="22.5" customHeight="1" x14ac:dyDescent="0.25">
      <c r="F104" s="22"/>
      <c r="G104" s="22"/>
      <c r="H104" s="22"/>
      <c r="I104" s="22"/>
      <c r="J104" s="22"/>
    </row>
    <row r="105" spans="6:10" s="23" customFormat="1" ht="22.5" customHeight="1" x14ac:dyDescent="0.25">
      <c r="F105" s="24"/>
      <c r="G105" s="24"/>
      <c r="H105" s="24"/>
      <c r="I105" s="24"/>
      <c r="J105" s="24"/>
    </row>
    <row r="106" spans="6:10" s="23" customFormat="1" ht="22.5" customHeight="1" x14ac:dyDescent="0.25">
      <c r="F106" s="24"/>
      <c r="G106" s="24"/>
      <c r="H106" s="24"/>
      <c r="I106" s="24"/>
      <c r="J106" s="24"/>
    </row>
    <row r="107" spans="6:10" s="23" customFormat="1" ht="22.5" customHeight="1" x14ac:dyDescent="0.25">
      <c r="F107" s="24"/>
      <c r="G107" s="24"/>
      <c r="H107" s="24"/>
      <c r="I107" s="24"/>
      <c r="J107" s="24"/>
    </row>
    <row r="108" spans="6:10" s="23" customFormat="1" ht="22.5" customHeight="1" x14ac:dyDescent="0.25">
      <c r="F108" s="24"/>
      <c r="G108" s="24"/>
      <c r="H108" s="24"/>
      <c r="I108" s="24"/>
      <c r="J108" s="24"/>
    </row>
    <row r="109" spans="6:10" s="23" customFormat="1" ht="22.5" customHeight="1" x14ac:dyDescent="0.25">
      <c r="F109" s="24"/>
      <c r="G109" s="24"/>
      <c r="H109" s="24"/>
      <c r="I109" s="24"/>
      <c r="J109" s="24"/>
    </row>
    <row r="110" spans="6:10" s="23" customFormat="1" ht="22.5" customHeight="1" x14ac:dyDescent="0.25">
      <c r="F110" s="24"/>
      <c r="G110" s="24"/>
      <c r="H110" s="24"/>
      <c r="I110" s="24"/>
      <c r="J110" s="24"/>
    </row>
    <row r="111" spans="6:10" s="23" customFormat="1" ht="22.5" customHeight="1" x14ac:dyDescent="0.25">
      <c r="F111" s="24"/>
      <c r="G111" s="24"/>
      <c r="H111" s="24"/>
      <c r="I111" s="24"/>
      <c r="J111" s="24"/>
    </row>
    <row r="112" spans="6:10" s="23" customFormat="1" ht="22.5" customHeight="1" x14ac:dyDescent="0.25">
      <c r="F112" s="24"/>
      <c r="G112" s="24"/>
      <c r="H112" s="24"/>
      <c r="I112" s="24"/>
      <c r="J112" s="24"/>
    </row>
    <row r="113" spans="6:10" s="23" customFormat="1" ht="22.5" customHeight="1" x14ac:dyDescent="0.25">
      <c r="F113" s="24"/>
      <c r="G113" s="24"/>
      <c r="H113" s="24"/>
      <c r="I113" s="24"/>
      <c r="J113" s="24"/>
    </row>
    <row r="114" spans="6:10" s="23" customFormat="1" ht="22.5" customHeight="1" x14ac:dyDescent="0.25">
      <c r="F114" s="24"/>
      <c r="G114" s="24"/>
      <c r="H114" s="24"/>
      <c r="I114" s="24"/>
      <c r="J114" s="24"/>
    </row>
    <row r="115" spans="6:10" s="23" customFormat="1" ht="22.5" customHeight="1" x14ac:dyDescent="0.25">
      <c r="F115" s="24"/>
      <c r="G115" s="24"/>
      <c r="H115" s="24"/>
      <c r="I115" s="24"/>
      <c r="J115" s="24"/>
    </row>
    <row r="116" spans="6:10" s="23" customFormat="1" ht="22.5" customHeight="1" x14ac:dyDescent="0.25">
      <c r="F116" s="24"/>
      <c r="G116" s="24"/>
      <c r="H116" s="24"/>
      <c r="I116" s="24"/>
      <c r="J116" s="24"/>
    </row>
    <row r="117" spans="6:10" s="23" customFormat="1" ht="22.5" customHeight="1" x14ac:dyDescent="0.25">
      <c r="F117" s="24"/>
      <c r="G117" s="24"/>
      <c r="H117" s="24"/>
      <c r="I117" s="24"/>
      <c r="J117" s="24"/>
    </row>
    <row r="118" spans="6:10" s="23" customFormat="1" ht="22.5" customHeight="1" x14ac:dyDescent="0.25">
      <c r="F118" s="24"/>
      <c r="G118" s="24"/>
      <c r="H118" s="24"/>
      <c r="I118" s="24"/>
      <c r="J118" s="24"/>
    </row>
    <row r="119" spans="6:10" s="23" customFormat="1" ht="22.5" customHeight="1" x14ac:dyDescent="0.25">
      <c r="F119" s="24"/>
      <c r="G119" s="24"/>
      <c r="H119" s="24"/>
      <c r="I119" s="24"/>
      <c r="J119" s="24"/>
    </row>
    <row r="120" spans="6:10" s="23" customFormat="1" ht="22.5" customHeight="1" x14ac:dyDescent="0.25">
      <c r="F120" s="24"/>
      <c r="G120" s="24"/>
      <c r="H120" s="24"/>
      <c r="I120" s="24"/>
      <c r="J120" s="24"/>
    </row>
    <row r="121" spans="6:10" s="23" customFormat="1" ht="22.5" customHeight="1" x14ac:dyDescent="0.25">
      <c r="F121" s="24"/>
      <c r="G121" s="24"/>
      <c r="H121" s="24"/>
      <c r="I121" s="24"/>
      <c r="J121" s="24"/>
    </row>
    <row r="122" spans="6:10" s="21" customFormat="1" ht="23.1" customHeight="1" x14ac:dyDescent="0.25">
      <c r="F122" s="22"/>
      <c r="G122" s="22"/>
      <c r="H122" s="22"/>
      <c r="I122" s="22"/>
      <c r="J122" s="22"/>
    </row>
    <row r="123" spans="6:10" s="21" customFormat="1" ht="23.1" customHeight="1" x14ac:dyDescent="0.25">
      <c r="F123" s="22"/>
      <c r="G123" s="22"/>
      <c r="H123" s="22"/>
      <c r="I123" s="22"/>
      <c r="J123" s="22"/>
    </row>
    <row r="124" spans="6:10" s="21" customFormat="1" ht="23.1" customHeight="1" x14ac:dyDescent="0.25">
      <c r="F124" s="22"/>
      <c r="G124" s="22"/>
      <c r="H124" s="22"/>
      <c r="I124" s="22"/>
      <c r="J124" s="22"/>
    </row>
    <row r="125" spans="6:10" s="23" customFormat="1" ht="22.5" customHeight="1" x14ac:dyDescent="0.25">
      <c r="F125" s="24"/>
      <c r="G125" s="24"/>
      <c r="H125" s="24"/>
      <c r="I125" s="24"/>
      <c r="J125" s="24"/>
    </row>
    <row r="126" spans="6:10" s="23" customFormat="1" ht="22.5" customHeight="1" x14ac:dyDescent="0.25">
      <c r="F126" s="24"/>
      <c r="G126" s="24"/>
      <c r="H126" s="24"/>
      <c r="I126" s="24"/>
      <c r="J126" s="24"/>
    </row>
    <row r="127" spans="6:10" s="23" customFormat="1" ht="22.5" customHeight="1" x14ac:dyDescent="0.25">
      <c r="F127" s="24"/>
      <c r="G127" s="24"/>
      <c r="H127" s="24"/>
      <c r="I127" s="24"/>
      <c r="J127" s="24"/>
    </row>
    <row r="128" spans="6:10" s="23" customFormat="1" ht="22.5" customHeight="1" x14ac:dyDescent="0.25">
      <c r="F128" s="24"/>
      <c r="G128" s="24"/>
      <c r="H128" s="24"/>
      <c r="I128" s="24"/>
      <c r="J128" s="24"/>
    </row>
    <row r="129" spans="6:10" s="23" customFormat="1" ht="22.5" customHeight="1" x14ac:dyDescent="0.25">
      <c r="F129" s="24"/>
      <c r="G129" s="24"/>
      <c r="H129" s="24"/>
      <c r="I129" s="24"/>
      <c r="J129" s="24"/>
    </row>
    <row r="130" spans="6:10" s="23" customFormat="1" ht="22.5" customHeight="1" x14ac:dyDescent="0.25">
      <c r="F130" s="24"/>
      <c r="G130" s="24"/>
      <c r="H130" s="24"/>
      <c r="I130" s="24"/>
      <c r="J130" s="24"/>
    </row>
    <row r="131" spans="6:10" s="23" customFormat="1" ht="22.5" customHeight="1" x14ac:dyDescent="0.25">
      <c r="F131" s="24"/>
      <c r="G131" s="24"/>
      <c r="H131" s="24"/>
      <c r="I131" s="24"/>
      <c r="J131" s="24"/>
    </row>
    <row r="132" spans="6:10" s="23" customFormat="1" ht="22.5" customHeight="1" x14ac:dyDescent="0.25">
      <c r="F132" s="24"/>
      <c r="G132" s="24"/>
      <c r="H132" s="24"/>
      <c r="I132" s="24"/>
      <c r="J132" s="24"/>
    </row>
    <row r="133" spans="6:10" s="23" customFormat="1" ht="22.5" customHeight="1" x14ac:dyDescent="0.25">
      <c r="F133" s="24"/>
      <c r="G133" s="24"/>
      <c r="H133" s="24"/>
      <c r="I133" s="24"/>
      <c r="J133" s="24"/>
    </row>
    <row r="134" spans="6:10" s="23" customFormat="1" ht="22.5" customHeight="1" x14ac:dyDescent="0.25">
      <c r="F134" s="24"/>
      <c r="G134" s="24"/>
      <c r="H134" s="24"/>
      <c r="I134" s="24"/>
      <c r="J134" s="24"/>
    </row>
    <row r="135" spans="6:10" s="23" customFormat="1" ht="23.1" customHeight="1" x14ac:dyDescent="0.25">
      <c r="F135" s="24"/>
      <c r="G135" s="24"/>
      <c r="H135" s="24"/>
      <c r="I135" s="24"/>
      <c r="J135" s="24"/>
    </row>
    <row r="136" spans="6:10" s="23" customFormat="1" ht="22.5" customHeight="1" x14ac:dyDescent="0.25">
      <c r="F136" s="24"/>
      <c r="G136" s="24"/>
      <c r="H136" s="24"/>
      <c r="I136" s="24"/>
      <c r="J136" s="24"/>
    </row>
    <row r="137" spans="6:10" s="23" customFormat="1" ht="22.5" customHeight="1" x14ac:dyDescent="0.25">
      <c r="F137" s="24"/>
      <c r="G137" s="24"/>
      <c r="H137" s="24"/>
      <c r="I137" s="24"/>
      <c r="J137" s="24"/>
    </row>
    <row r="138" spans="6:10" s="23" customFormat="1" ht="22.5" customHeight="1" x14ac:dyDescent="0.25">
      <c r="F138" s="24"/>
      <c r="G138" s="24"/>
      <c r="H138" s="24"/>
      <c r="I138" s="24"/>
      <c r="J138" s="24"/>
    </row>
    <row r="139" spans="6:10" s="23" customFormat="1" ht="22.5" customHeight="1" x14ac:dyDescent="0.25">
      <c r="F139" s="24"/>
      <c r="G139" s="24"/>
      <c r="H139" s="24"/>
      <c r="I139" s="24"/>
      <c r="J139" s="24"/>
    </row>
    <row r="140" spans="6:10" s="23" customFormat="1" ht="22.5" customHeight="1" x14ac:dyDescent="0.25">
      <c r="F140" s="24"/>
      <c r="G140" s="24"/>
      <c r="H140" s="24"/>
      <c r="I140" s="24"/>
      <c r="J140" s="24"/>
    </row>
    <row r="141" spans="6:10" s="23" customFormat="1" ht="22.5" customHeight="1" x14ac:dyDescent="0.25">
      <c r="F141" s="24"/>
      <c r="G141" s="24"/>
      <c r="H141" s="24"/>
      <c r="I141" s="24"/>
      <c r="J141" s="24"/>
    </row>
    <row r="142" spans="6:10" s="23" customFormat="1" ht="22.5" customHeight="1" x14ac:dyDescent="0.25">
      <c r="F142" s="24"/>
      <c r="G142" s="24"/>
      <c r="H142" s="24"/>
      <c r="I142" s="24"/>
      <c r="J142" s="24"/>
    </row>
    <row r="143" spans="6:10" s="23" customFormat="1" ht="22.5" customHeight="1" x14ac:dyDescent="0.25">
      <c r="F143" s="24"/>
      <c r="G143" s="24"/>
      <c r="H143" s="24"/>
      <c r="I143" s="24"/>
      <c r="J143" s="24"/>
    </row>
    <row r="144" spans="6:10" s="21" customFormat="1" ht="23.1" customHeight="1" x14ac:dyDescent="0.25">
      <c r="F144" s="22"/>
      <c r="G144" s="22"/>
      <c r="H144" s="22"/>
      <c r="I144" s="22"/>
      <c r="J144" s="22"/>
    </row>
    <row r="145" spans="6:10" s="23" customFormat="1" ht="22.5" customHeight="1" x14ac:dyDescent="0.25">
      <c r="F145" s="24"/>
      <c r="G145" s="24"/>
      <c r="H145" s="24"/>
      <c r="I145" s="24"/>
      <c r="J145" s="24"/>
    </row>
    <row r="146" spans="6:10" s="21" customFormat="1" ht="23.1" customHeight="1" x14ac:dyDescent="0.25">
      <c r="F146" s="22"/>
      <c r="G146" s="22"/>
      <c r="H146" s="22"/>
      <c r="I146" s="22"/>
      <c r="J146" s="22"/>
    </row>
    <row r="147" spans="6:10" s="23" customFormat="1" ht="22.5" customHeight="1" x14ac:dyDescent="0.25">
      <c r="F147" s="24"/>
      <c r="G147" s="24"/>
      <c r="H147" s="24"/>
      <c r="I147" s="24"/>
      <c r="J147" s="24"/>
    </row>
    <row r="148" spans="6:10" s="23" customFormat="1" ht="22.5" customHeight="1" x14ac:dyDescent="0.25">
      <c r="F148" s="24"/>
      <c r="G148" s="24"/>
      <c r="H148" s="24"/>
      <c r="I148" s="24"/>
      <c r="J148" s="24"/>
    </row>
    <row r="149" spans="6:10" s="23" customFormat="1" ht="22.5" customHeight="1" x14ac:dyDescent="0.25">
      <c r="F149" s="24"/>
      <c r="G149" s="24"/>
      <c r="H149" s="24"/>
      <c r="I149" s="24"/>
      <c r="J149" s="24"/>
    </row>
    <row r="150" spans="6:10" s="23" customFormat="1" ht="22.5" customHeight="1" x14ac:dyDescent="0.25">
      <c r="F150" s="24"/>
      <c r="G150" s="24"/>
      <c r="H150" s="24"/>
      <c r="I150" s="24"/>
      <c r="J150" s="24"/>
    </row>
    <row r="151" spans="6:10" s="23" customFormat="1" ht="22.5" customHeight="1" x14ac:dyDescent="0.25">
      <c r="F151" s="24"/>
      <c r="G151" s="24"/>
      <c r="H151" s="24"/>
      <c r="I151" s="24"/>
      <c r="J151" s="24"/>
    </row>
    <row r="152" spans="6:10" s="23" customFormat="1" ht="22.5" customHeight="1" x14ac:dyDescent="0.25">
      <c r="F152" s="24"/>
      <c r="G152" s="24"/>
      <c r="H152" s="24"/>
      <c r="I152" s="24"/>
      <c r="J152" s="24"/>
    </row>
    <row r="153" spans="6:10" s="23" customFormat="1" ht="22.5" customHeight="1" x14ac:dyDescent="0.25">
      <c r="F153" s="24"/>
      <c r="G153" s="24"/>
      <c r="H153" s="24"/>
      <c r="I153" s="24"/>
      <c r="J153" s="24"/>
    </row>
    <row r="154" spans="6:10" s="23" customFormat="1" ht="22.5" customHeight="1" x14ac:dyDescent="0.25">
      <c r="F154" s="24"/>
      <c r="G154" s="24"/>
      <c r="H154" s="24"/>
      <c r="I154" s="24"/>
      <c r="J154" s="24"/>
    </row>
    <row r="155" spans="6:10" s="23" customFormat="1" ht="22.5" customHeight="1" x14ac:dyDescent="0.25">
      <c r="F155" s="24"/>
      <c r="G155" s="24"/>
      <c r="H155" s="24"/>
      <c r="I155" s="24"/>
      <c r="J155" s="24"/>
    </row>
    <row r="156" spans="6:10" s="23" customFormat="1" ht="22.5" customHeight="1" x14ac:dyDescent="0.25">
      <c r="F156" s="24"/>
      <c r="G156" s="24"/>
      <c r="H156" s="24"/>
      <c r="I156" s="24"/>
      <c r="J156" s="24"/>
    </row>
    <row r="157" spans="6:10" s="23" customFormat="1" ht="22.5" customHeight="1" x14ac:dyDescent="0.25">
      <c r="F157" s="24"/>
      <c r="G157" s="24"/>
      <c r="H157" s="24"/>
      <c r="I157" s="24"/>
      <c r="J157" s="24"/>
    </row>
    <row r="158" spans="6:10" s="23" customFormat="1" ht="22.5" customHeight="1" x14ac:dyDescent="0.25">
      <c r="F158" s="24"/>
      <c r="G158" s="24"/>
      <c r="H158" s="24"/>
      <c r="I158" s="24"/>
      <c r="J158" s="24"/>
    </row>
    <row r="159" spans="6:10" s="23" customFormat="1" ht="22.5" customHeight="1" x14ac:dyDescent="0.25">
      <c r="F159" s="24"/>
      <c r="G159" s="24"/>
      <c r="H159" s="24"/>
      <c r="I159" s="24"/>
      <c r="J159" s="24"/>
    </row>
    <row r="160" spans="6:10" s="23" customFormat="1" ht="22.5" customHeight="1" x14ac:dyDescent="0.25">
      <c r="F160" s="24"/>
      <c r="G160" s="24"/>
      <c r="H160" s="24"/>
      <c r="I160" s="24"/>
      <c r="J160" s="24"/>
    </row>
    <row r="161" spans="6:10" s="23" customFormat="1" ht="22.5" customHeight="1" x14ac:dyDescent="0.25">
      <c r="F161" s="24"/>
      <c r="G161" s="24"/>
      <c r="H161" s="24"/>
      <c r="I161" s="24"/>
      <c r="J161" s="24"/>
    </row>
    <row r="162" spans="6:10" s="21" customFormat="1" ht="23.1" customHeight="1" x14ac:dyDescent="0.25">
      <c r="F162" s="22"/>
      <c r="G162" s="22"/>
      <c r="H162" s="22"/>
      <c r="I162" s="22"/>
      <c r="J162" s="22"/>
    </row>
    <row r="163" spans="6:10" s="23" customFormat="1" ht="22.5" customHeight="1" x14ac:dyDescent="0.25">
      <c r="F163" s="24"/>
      <c r="G163" s="24"/>
      <c r="H163" s="24"/>
      <c r="I163" s="24"/>
      <c r="J163" s="24"/>
    </row>
    <row r="164" spans="6:10" s="23" customFormat="1" ht="22.5" customHeight="1" x14ac:dyDescent="0.25">
      <c r="F164" s="24"/>
      <c r="G164" s="24"/>
      <c r="H164" s="24"/>
      <c r="I164" s="24"/>
      <c r="J164" s="24"/>
    </row>
    <row r="165" spans="6:10" s="23" customFormat="1" ht="22.5" customHeight="1" x14ac:dyDescent="0.25">
      <c r="F165" s="24"/>
      <c r="G165" s="24"/>
      <c r="H165" s="24"/>
      <c r="I165" s="24"/>
      <c r="J165" s="24"/>
    </row>
    <row r="166" spans="6:10" s="23" customFormat="1" ht="22.5" customHeight="1" x14ac:dyDescent="0.25">
      <c r="F166" s="24"/>
      <c r="G166" s="24"/>
      <c r="H166" s="24"/>
      <c r="I166" s="24"/>
      <c r="J166" s="24"/>
    </row>
    <row r="167" spans="6:10" s="23" customFormat="1" ht="22.5" customHeight="1" x14ac:dyDescent="0.25">
      <c r="F167" s="24"/>
      <c r="G167" s="24"/>
      <c r="H167" s="24"/>
      <c r="I167" s="24"/>
      <c r="J167" s="24"/>
    </row>
    <row r="168" spans="6:10" s="23" customFormat="1" ht="22.5" customHeight="1" x14ac:dyDescent="0.25">
      <c r="F168" s="24"/>
      <c r="G168" s="24"/>
      <c r="H168" s="24"/>
      <c r="I168" s="24"/>
      <c r="J168" s="24"/>
    </row>
    <row r="169" spans="6:10" s="23" customFormat="1" ht="22.5" customHeight="1" x14ac:dyDescent="0.25">
      <c r="F169" s="24"/>
      <c r="G169" s="24"/>
      <c r="H169" s="24"/>
      <c r="I169" s="24"/>
      <c r="J169" s="24"/>
    </row>
    <row r="170" spans="6:10" s="23" customFormat="1" ht="22.5" customHeight="1" x14ac:dyDescent="0.25">
      <c r="F170" s="24"/>
      <c r="G170" s="24"/>
      <c r="H170" s="24"/>
      <c r="I170" s="24"/>
      <c r="J170" s="24"/>
    </row>
    <row r="171" spans="6:10" s="23" customFormat="1" ht="22.5" customHeight="1" x14ac:dyDescent="0.25">
      <c r="F171" s="24"/>
      <c r="G171" s="24"/>
      <c r="H171" s="24"/>
      <c r="I171" s="24"/>
      <c r="J171" s="24"/>
    </row>
    <row r="172" spans="6:10" s="23" customFormat="1" ht="22.5" customHeight="1" x14ac:dyDescent="0.25">
      <c r="F172" s="24"/>
      <c r="G172" s="24"/>
      <c r="H172" s="24"/>
      <c r="I172" s="24"/>
      <c r="J172" s="24"/>
    </row>
    <row r="173" spans="6:10" s="23" customFormat="1" ht="22.5" customHeight="1" x14ac:dyDescent="0.25">
      <c r="F173" s="24"/>
      <c r="G173" s="24"/>
      <c r="H173" s="24"/>
      <c r="I173" s="24"/>
      <c r="J173" s="24"/>
    </row>
    <row r="174" spans="6:10" s="23" customFormat="1" ht="22.5" customHeight="1" x14ac:dyDescent="0.25">
      <c r="F174" s="24"/>
      <c r="G174" s="24"/>
      <c r="H174" s="24"/>
      <c r="I174" s="24"/>
      <c r="J174" s="24"/>
    </row>
    <row r="175" spans="6:10" s="23" customFormat="1" ht="22.5" customHeight="1" x14ac:dyDescent="0.25">
      <c r="F175" s="24"/>
      <c r="G175" s="24"/>
      <c r="H175" s="24"/>
      <c r="I175" s="24"/>
      <c r="J175" s="24"/>
    </row>
    <row r="176" spans="6:10" s="23" customFormat="1" ht="22.5" customHeight="1" x14ac:dyDescent="0.25">
      <c r="F176" s="24"/>
      <c r="G176" s="24"/>
      <c r="H176" s="24"/>
      <c r="I176" s="24"/>
      <c r="J176" s="24"/>
    </row>
    <row r="177" spans="6:10" s="23" customFormat="1" ht="22.5" customHeight="1" x14ac:dyDescent="0.25">
      <c r="F177" s="24"/>
      <c r="G177" s="24"/>
      <c r="H177" s="24"/>
      <c r="I177" s="24"/>
      <c r="J177" s="24"/>
    </row>
    <row r="178" spans="6:10" s="23" customFormat="1" ht="22.5" customHeight="1" x14ac:dyDescent="0.25">
      <c r="F178" s="24"/>
      <c r="G178" s="24"/>
      <c r="H178" s="24"/>
      <c r="I178" s="24"/>
      <c r="J178" s="24"/>
    </row>
    <row r="179" spans="6:10" s="23" customFormat="1" ht="22.5" customHeight="1" x14ac:dyDescent="0.25">
      <c r="F179" s="24"/>
      <c r="G179" s="24"/>
      <c r="H179" s="24"/>
      <c r="I179" s="24"/>
      <c r="J179" s="24"/>
    </row>
    <row r="180" spans="6:10" s="23" customFormat="1" ht="22.5" customHeight="1" x14ac:dyDescent="0.25">
      <c r="F180" s="24"/>
      <c r="G180" s="24"/>
      <c r="H180" s="24"/>
      <c r="I180" s="24"/>
      <c r="J180" s="24"/>
    </row>
    <row r="181" spans="6:10" s="23" customFormat="1" ht="22.5" customHeight="1" x14ac:dyDescent="0.25">
      <c r="F181" s="24"/>
      <c r="G181" s="24"/>
      <c r="H181" s="24"/>
      <c r="I181" s="24"/>
      <c r="J181" s="24"/>
    </row>
    <row r="182" spans="6:10" s="23" customFormat="1" ht="22.5" customHeight="1" x14ac:dyDescent="0.25">
      <c r="F182" s="24"/>
      <c r="G182" s="24"/>
      <c r="H182" s="24"/>
      <c r="I182" s="24"/>
      <c r="J182" s="24"/>
    </row>
    <row r="183" spans="6:10" s="23" customFormat="1" ht="22.5" customHeight="1" x14ac:dyDescent="0.25">
      <c r="F183" s="24"/>
      <c r="G183" s="24"/>
      <c r="H183" s="24"/>
      <c r="I183" s="24"/>
      <c r="J183" s="24"/>
    </row>
    <row r="184" spans="6:10" s="23" customFormat="1" ht="22.5" customHeight="1" x14ac:dyDescent="0.25">
      <c r="F184" s="24"/>
      <c r="G184" s="24"/>
      <c r="H184" s="24"/>
      <c r="I184" s="24"/>
      <c r="J184" s="24"/>
    </row>
    <row r="185" spans="6:10" s="23" customFormat="1" ht="22.5" customHeight="1" x14ac:dyDescent="0.25">
      <c r="F185" s="24"/>
      <c r="G185" s="24"/>
      <c r="H185" s="24"/>
      <c r="I185" s="24"/>
      <c r="J185" s="24"/>
    </row>
    <row r="186" spans="6:10" s="23" customFormat="1" ht="22.5" customHeight="1" x14ac:dyDescent="0.25">
      <c r="F186" s="24"/>
      <c r="G186" s="24"/>
      <c r="H186" s="24"/>
      <c r="I186" s="24"/>
      <c r="J186" s="24"/>
    </row>
    <row r="187" spans="6:10" s="23" customFormat="1" ht="22.5" customHeight="1" x14ac:dyDescent="0.25">
      <c r="F187" s="24"/>
      <c r="G187" s="24"/>
      <c r="H187" s="24"/>
      <c r="I187" s="24"/>
      <c r="J187" s="24"/>
    </row>
    <row r="188" spans="6:10" s="23" customFormat="1" ht="22.5" customHeight="1" x14ac:dyDescent="0.25">
      <c r="F188" s="24"/>
      <c r="G188" s="24"/>
      <c r="H188" s="24"/>
      <c r="I188" s="24"/>
      <c r="J188" s="24"/>
    </row>
    <row r="189" spans="6:10" s="23" customFormat="1" ht="22.5" customHeight="1" x14ac:dyDescent="0.25">
      <c r="F189" s="24"/>
      <c r="G189" s="24"/>
      <c r="H189" s="24"/>
      <c r="I189" s="24"/>
      <c r="J189" s="24"/>
    </row>
    <row r="190" spans="6:10" s="23" customFormat="1" ht="22.5" customHeight="1" x14ac:dyDescent="0.25">
      <c r="F190" s="24"/>
      <c r="G190" s="24"/>
      <c r="H190" s="24"/>
      <c r="I190" s="24"/>
      <c r="J190" s="24"/>
    </row>
    <row r="191" spans="6:10" s="21" customFormat="1" ht="23.1" customHeight="1" x14ac:dyDescent="0.25">
      <c r="F191" s="22"/>
      <c r="G191" s="22"/>
      <c r="H191" s="22"/>
      <c r="I191" s="22"/>
      <c r="J191" s="22"/>
    </row>
    <row r="192" spans="6:10" s="21" customFormat="1" ht="22.5" customHeight="1" x14ac:dyDescent="0.25">
      <c r="F192" s="22"/>
      <c r="G192" s="22"/>
      <c r="H192" s="22"/>
      <c r="I192" s="22"/>
      <c r="J192" s="22"/>
    </row>
    <row r="193" spans="6:10" s="21" customFormat="1" ht="23.1" customHeight="1" x14ac:dyDescent="0.25">
      <c r="F193" s="22"/>
      <c r="G193" s="22"/>
      <c r="H193" s="22"/>
      <c r="I193" s="22"/>
      <c r="J193" s="22"/>
    </row>
    <row r="194" spans="6:10" s="21" customFormat="1" ht="23.1" customHeight="1" x14ac:dyDescent="0.25">
      <c r="F194" s="22"/>
      <c r="G194" s="22"/>
      <c r="H194" s="22"/>
      <c r="I194" s="22"/>
      <c r="J194" s="22"/>
    </row>
    <row r="195" spans="6:10" s="21" customFormat="1" ht="22.5" customHeight="1" x14ac:dyDescent="0.25">
      <c r="F195" s="22"/>
      <c r="G195" s="22"/>
      <c r="H195" s="22"/>
      <c r="I195" s="22"/>
      <c r="J195" s="22"/>
    </row>
    <row r="196" spans="6:10" s="21" customFormat="1" ht="23.1" customHeight="1" x14ac:dyDescent="0.25">
      <c r="F196" s="22"/>
      <c r="G196" s="22"/>
      <c r="H196" s="22"/>
      <c r="I196" s="22"/>
      <c r="J196" s="22"/>
    </row>
    <row r="197" spans="6:10" s="21" customFormat="1" ht="23.1" customHeight="1" x14ac:dyDescent="0.25">
      <c r="F197" s="22"/>
      <c r="G197" s="22"/>
      <c r="H197" s="22"/>
      <c r="I197" s="22"/>
      <c r="J197" s="22"/>
    </row>
    <row r="198" spans="6:10" s="21" customFormat="1" ht="22.5" customHeight="1" x14ac:dyDescent="0.25">
      <c r="F198" s="22"/>
      <c r="G198" s="22"/>
      <c r="H198" s="22"/>
      <c r="I198" s="22"/>
      <c r="J198" s="22"/>
    </row>
    <row r="199" spans="6:10" s="21" customFormat="1" ht="23.1" customHeight="1" x14ac:dyDescent="0.25">
      <c r="F199" s="22"/>
      <c r="G199" s="22"/>
      <c r="H199" s="22"/>
      <c r="I199" s="22"/>
      <c r="J199" s="22"/>
    </row>
    <row r="200" spans="6:10" s="21" customFormat="1" ht="23.1" customHeight="1" x14ac:dyDescent="0.25">
      <c r="F200" s="22"/>
      <c r="G200" s="22"/>
      <c r="H200" s="22"/>
      <c r="I200" s="22"/>
      <c r="J200" s="22"/>
    </row>
    <row r="201" spans="6:10" s="21" customFormat="1" ht="23.1" customHeight="1" x14ac:dyDescent="0.25">
      <c r="F201" s="22"/>
      <c r="G201" s="22"/>
      <c r="H201" s="22"/>
      <c r="I201" s="22"/>
      <c r="J201" s="22"/>
    </row>
    <row r="202" spans="6:10" s="23" customFormat="1" ht="22.5" customHeight="1" x14ac:dyDescent="0.25">
      <c r="F202" s="24"/>
      <c r="G202" s="24"/>
      <c r="H202" s="24"/>
      <c r="I202" s="24"/>
      <c r="J202" s="24"/>
    </row>
    <row r="203" spans="6:10" s="23" customFormat="1" ht="22.5" customHeight="1" x14ac:dyDescent="0.25">
      <c r="F203" s="24"/>
      <c r="G203" s="24"/>
      <c r="H203" s="24"/>
      <c r="I203" s="24"/>
      <c r="J203" s="24"/>
    </row>
    <row r="204" spans="6:10" s="23" customFormat="1" ht="22.5" customHeight="1" x14ac:dyDescent="0.25">
      <c r="F204" s="24"/>
      <c r="G204" s="24"/>
      <c r="H204" s="24"/>
      <c r="I204" s="24"/>
      <c r="J204" s="24"/>
    </row>
    <row r="205" spans="6:10" s="21" customFormat="1" ht="23.1" customHeight="1" x14ac:dyDescent="0.25">
      <c r="F205" s="22"/>
      <c r="G205" s="22"/>
      <c r="H205" s="22"/>
      <c r="I205" s="22"/>
      <c r="J205" s="22"/>
    </row>
    <row r="206" spans="6:10" s="23" customFormat="1" ht="22.5" customHeight="1" x14ac:dyDescent="0.25">
      <c r="F206" s="24"/>
      <c r="G206" s="24"/>
      <c r="H206" s="24"/>
      <c r="I206" s="24"/>
      <c r="J206" s="24"/>
    </row>
    <row r="207" spans="6:10" s="23" customFormat="1" ht="22.5" customHeight="1" x14ac:dyDescent="0.25">
      <c r="F207" s="24"/>
      <c r="G207" s="24"/>
      <c r="H207" s="24"/>
      <c r="I207" s="24"/>
      <c r="J207" s="24"/>
    </row>
    <row r="208" spans="6:10" s="23" customFormat="1" ht="22.5" customHeight="1" x14ac:dyDescent="0.25">
      <c r="F208" s="24"/>
      <c r="G208" s="24"/>
      <c r="H208" s="24"/>
      <c r="I208" s="24"/>
      <c r="J208" s="24"/>
    </row>
    <row r="209" spans="6:10" s="23" customFormat="1" ht="22.5" customHeight="1" x14ac:dyDescent="0.25">
      <c r="F209" s="24"/>
      <c r="G209" s="24"/>
      <c r="H209" s="24"/>
      <c r="I209" s="24"/>
      <c r="J209" s="24"/>
    </row>
    <row r="210" spans="6:10" s="23" customFormat="1" ht="22.5" customHeight="1" x14ac:dyDescent="0.25">
      <c r="F210" s="24"/>
      <c r="G210" s="24"/>
      <c r="H210" s="24"/>
      <c r="I210" s="24"/>
      <c r="J210" s="24"/>
    </row>
    <row r="211" spans="6:10" s="23" customFormat="1" ht="22.5" customHeight="1" x14ac:dyDescent="0.25">
      <c r="F211" s="24"/>
      <c r="G211" s="24"/>
      <c r="H211" s="24"/>
      <c r="I211" s="24"/>
      <c r="J211" s="24"/>
    </row>
    <row r="212" spans="6:10" s="23" customFormat="1" ht="22.5" customHeight="1" x14ac:dyDescent="0.25">
      <c r="F212" s="24"/>
      <c r="G212" s="24"/>
      <c r="H212" s="24"/>
      <c r="I212" s="24"/>
      <c r="J212" s="24"/>
    </row>
    <row r="213" spans="6:10" s="23" customFormat="1" ht="22.5" customHeight="1" x14ac:dyDescent="0.25">
      <c r="F213" s="24"/>
      <c r="G213" s="24"/>
      <c r="H213" s="24"/>
      <c r="I213" s="24"/>
      <c r="J213" s="24"/>
    </row>
    <row r="214" spans="6:10" s="23" customFormat="1" ht="22.5" customHeight="1" x14ac:dyDescent="0.25">
      <c r="F214" s="24"/>
      <c r="G214" s="24"/>
      <c r="H214" s="24"/>
      <c r="I214" s="24"/>
      <c r="J214" s="24"/>
    </row>
    <row r="215" spans="6:10" s="23" customFormat="1" ht="22.5" customHeight="1" x14ac:dyDescent="0.25">
      <c r="F215" s="24"/>
      <c r="G215" s="24"/>
      <c r="H215" s="24"/>
      <c r="I215" s="24"/>
      <c r="J215" s="24"/>
    </row>
    <row r="216" spans="6:10" s="23" customFormat="1" ht="22.5" customHeight="1" x14ac:dyDescent="0.25">
      <c r="F216" s="24"/>
      <c r="G216" s="24"/>
      <c r="H216" s="24"/>
      <c r="I216" s="24"/>
      <c r="J216" s="24"/>
    </row>
    <row r="217" spans="6:10" s="23" customFormat="1" ht="22.5" customHeight="1" x14ac:dyDescent="0.25">
      <c r="F217" s="24"/>
      <c r="G217" s="24"/>
      <c r="H217" s="24"/>
      <c r="I217" s="24"/>
      <c r="J217" s="24"/>
    </row>
    <row r="218" spans="6:10" s="23" customFormat="1" ht="22.5" customHeight="1" x14ac:dyDescent="0.25">
      <c r="F218" s="24"/>
      <c r="G218" s="24"/>
      <c r="H218" s="24"/>
      <c r="I218" s="24"/>
      <c r="J218" s="24"/>
    </row>
    <row r="219" spans="6:10" s="23" customFormat="1" ht="22.5" customHeight="1" x14ac:dyDescent="0.25">
      <c r="F219" s="24"/>
      <c r="G219" s="24"/>
      <c r="H219" s="24"/>
      <c r="I219" s="24"/>
      <c r="J219" s="24"/>
    </row>
    <row r="220" spans="6:10" s="23" customFormat="1" ht="22.5" customHeight="1" x14ac:dyDescent="0.25">
      <c r="F220" s="24"/>
      <c r="G220" s="24"/>
      <c r="H220" s="24"/>
      <c r="I220" s="24"/>
      <c r="J220" s="24"/>
    </row>
    <row r="221" spans="6:10" s="23" customFormat="1" ht="22.5" customHeight="1" x14ac:dyDescent="0.25">
      <c r="F221" s="24"/>
      <c r="G221" s="24"/>
      <c r="H221" s="24"/>
      <c r="I221" s="24"/>
      <c r="J221" s="24"/>
    </row>
    <row r="222" spans="6:10" s="23" customFormat="1" ht="22.5" customHeight="1" x14ac:dyDescent="0.25">
      <c r="F222" s="24"/>
      <c r="G222" s="24"/>
      <c r="H222" s="24"/>
      <c r="I222" s="24"/>
      <c r="J222" s="24"/>
    </row>
    <row r="223" spans="6:10" s="23" customFormat="1" ht="22.5" customHeight="1" x14ac:dyDescent="0.25">
      <c r="F223" s="24"/>
      <c r="G223" s="24"/>
      <c r="H223" s="24"/>
      <c r="I223" s="24"/>
      <c r="J223" s="24"/>
    </row>
    <row r="224" spans="6:10" s="23" customFormat="1" ht="22.5" customHeight="1" x14ac:dyDescent="0.25">
      <c r="F224" s="24"/>
      <c r="G224" s="24"/>
      <c r="H224" s="24"/>
      <c r="I224" s="24"/>
      <c r="J224" s="24"/>
    </row>
    <row r="225" spans="6:10" s="23" customFormat="1" ht="22.5" customHeight="1" x14ac:dyDescent="0.25">
      <c r="F225" s="24"/>
      <c r="G225" s="24"/>
      <c r="H225" s="24"/>
      <c r="I225" s="24"/>
      <c r="J225" s="24"/>
    </row>
    <row r="226" spans="6:10" s="23" customFormat="1" ht="22.5" customHeight="1" x14ac:dyDescent="0.25">
      <c r="F226" s="24"/>
      <c r="G226" s="24"/>
      <c r="H226" s="24"/>
      <c r="I226" s="24"/>
      <c r="J226" s="24"/>
    </row>
    <row r="227" spans="6:10" s="23" customFormat="1" ht="22.5" customHeight="1" x14ac:dyDescent="0.25">
      <c r="F227" s="24"/>
      <c r="G227" s="24"/>
      <c r="H227" s="24"/>
      <c r="I227" s="24"/>
      <c r="J227" s="24"/>
    </row>
    <row r="228" spans="6:10" s="23" customFormat="1" ht="22.5" customHeight="1" x14ac:dyDescent="0.25">
      <c r="F228" s="24"/>
      <c r="G228" s="24"/>
      <c r="H228" s="24"/>
      <c r="I228" s="24"/>
      <c r="J228" s="24"/>
    </row>
    <row r="229" spans="6:10" s="23" customFormat="1" ht="22.5" customHeight="1" x14ac:dyDescent="0.25">
      <c r="F229" s="24"/>
      <c r="G229" s="24"/>
      <c r="H229" s="24"/>
      <c r="I229" s="24"/>
      <c r="J229" s="24"/>
    </row>
    <row r="230" spans="6:10" s="23" customFormat="1" ht="22.5" customHeight="1" x14ac:dyDescent="0.25">
      <c r="F230" s="24"/>
      <c r="G230" s="24"/>
      <c r="H230" s="24"/>
      <c r="I230" s="24"/>
      <c r="J230" s="24"/>
    </row>
    <row r="231" spans="6:10" s="23" customFormat="1" ht="22.5" customHeight="1" x14ac:dyDescent="0.25">
      <c r="F231" s="24"/>
      <c r="G231" s="24"/>
      <c r="H231" s="24"/>
      <c r="I231" s="24"/>
      <c r="J231" s="24"/>
    </row>
    <row r="232" spans="6:10" s="23" customFormat="1" ht="22.5" customHeight="1" x14ac:dyDescent="0.25">
      <c r="F232" s="24"/>
      <c r="G232" s="24"/>
      <c r="H232" s="24"/>
      <c r="I232" s="24"/>
      <c r="J232" s="24"/>
    </row>
    <row r="233" spans="6:10" s="23" customFormat="1" ht="22.5" customHeight="1" x14ac:dyDescent="0.25">
      <c r="F233" s="24"/>
      <c r="G233" s="24"/>
      <c r="H233" s="24"/>
      <c r="I233" s="24"/>
      <c r="J233" s="24"/>
    </row>
    <row r="234" spans="6:10" s="23" customFormat="1" ht="22.5" customHeight="1" x14ac:dyDescent="0.25">
      <c r="F234" s="24"/>
      <c r="G234" s="24"/>
      <c r="H234" s="24"/>
      <c r="I234" s="24"/>
      <c r="J234" s="24"/>
    </row>
    <row r="235" spans="6:10" s="23" customFormat="1" ht="22.5" customHeight="1" x14ac:dyDescent="0.25">
      <c r="F235" s="24"/>
      <c r="G235" s="24"/>
      <c r="H235" s="24"/>
      <c r="I235" s="24"/>
      <c r="J235" s="24"/>
    </row>
    <row r="236" spans="6:10" s="23" customFormat="1" ht="22.5" customHeight="1" x14ac:dyDescent="0.25">
      <c r="F236" s="24"/>
      <c r="G236" s="24"/>
      <c r="H236" s="24"/>
      <c r="I236" s="24"/>
      <c r="J236" s="24"/>
    </row>
    <row r="237" spans="6:10" s="23" customFormat="1" ht="22.5" customHeight="1" x14ac:dyDescent="0.25">
      <c r="F237" s="24"/>
      <c r="G237" s="24"/>
      <c r="H237" s="24"/>
      <c r="I237" s="24"/>
      <c r="J237" s="24"/>
    </row>
    <row r="238" spans="6:10" s="23" customFormat="1" ht="22.5" customHeight="1" x14ac:dyDescent="0.25">
      <c r="F238" s="24"/>
      <c r="G238" s="24"/>
      <c r="H238" s="24"/>
      <c r="I238" s="24"/>
      <c r="J238" s="24"/>
    </row>
    <row r="239" spans="6:10" s="23" customFormat="1" ht="22.5" customHeight="1" x14ac:dyDescent="0.25">
      <c r="F239" s="24"/>
      <c r="G239" s="24"/>
      <c r="H239" s="24"/>
      <c r="I239" s="24"/>
      <c r="J239" s="24"/>
    </row>
    <row r="240" spans="6:10" s="23" customFormat="1" ht="22.5" customHeight="1" x14ac:dyDescent="0.25">
      <c r="F240" s="24"/>
      <c r="G240" s="24"/>
      <c r="H240" s="24"/>
      <c r="I240" s="24"/>
      <c r="J240" s="24"/>
    </row>
    <row r="241" spans="6:10" s="23" customFormat="1" ht="22.5" customHeight="1" x14ac:dyDescent="0.25">
      <c r="F241" s="24"/>
      <c r="G241" s="24"/>
      <c r="H241" s="24"/>
      <c r="I241" s="24"/>
      <c r="J241" s="24"/>
    </row>
    <row r="242" spans="6:10" s="21" customFormat="1" ht="23.1" customHeight="1" x14ac:dyDescent="0.25">
      <c r="F242" s="22"/>
      <c r="G242" s="22"/>
      <c r="H242" s="22"/>
      <c r="I242" s="22"/>
      <c r="J242" s="22"/>
    </row>
    <row r="243" spans="6:10" s="21" customFormat="1" ht="23.1" customHeight="1" x14ac:dyDescent="0.25">
      <c r="F243" s="22"/>
      <c r="G243" s="22"/>
      <c r="H243" s="22"/>
      <c r="I243" s="22"/>
      <c r="J243" s="22"/>
    </row>
    <row r="244" spans="6:10" s="23" customFormat="1" ht="22.5" customHeight="1" x14ac:dyDescent="0.25">
      <c r="F244" s="24"/>
      <c r="G244" s="24"/>
      <c r="H244" s="24"/>
      <c r="I244" s="24"/>
      <c r="J244" s="24"/>
    </row>
    <row r="245" spans="6:10" s="23" customFormat="1" ht="22.5" customHeight="1" x14ac:dyDescent="0.25">
      <c r="F245" s="24"/>
      <c r="G245" s="24"/>
      <c r="H245" s="24"/>
      <c r="I245" s="24"/>
      <c r="J245" s="24"/>
    </row>
    <row r="246" spans="6:10" s="23" customFormat="1" ht="22.5" customHeight="1" x14ac:dyDescent="0.25">
      <c r="F246" s="24"/>
      <c r="G246" s="24"/>
      <c r="H246" s="24"/>
      <c r="I246" s="24"/>
      <c r="J246" s="24"/>
    </row>
    <row r="247" spans="6:10" s="23" customFormat="1" ht="22.5" customHeight="1" x14ac:dyDescent="0.25">
      <c r="F247" s="24"/>
      <c r="G247" s="24"/>
      <c r="H247" s="24"/>
      <c r="I247" s="24"/>
      <c r="J247" s="24"/>
    </row>
    <row r="248" spans="6:10" s="23" customFormat="1" ht="22.5" customHeight="1" x14ac:dyDescent="0.25">
      <c r="F248" s="24"/>
      <c r="G248" s="24"/>
      <c r="H248" s="24"/>
      <c r="I248" s="24"/>
      <c r="J248" s="24"/>
    </row>
    <row r="249" spans="6:10" ht="22.5" customHeight="1" x14ac:dyDescent="0.2"/>
  </sheetData>
  <mergeCells count="6">
    <mergeCell ref="F7:I7"/>
    <mergeCell ref="J7:J8"/>
    <mergeCell ref="B7:B8"/>
    <mergeCell ref="D7:D8"/>
    <mergeCell ref="E7:E8"/>
    <mergeCell ref="C7:C8"/>
  </mergeCells>
  <printOptions horizontalCentered="1"/>
  <pageMargins left="0" right="0" top="0.15748031496062992" bottom="0.15748031496062992" header="0" footer="0"/>
  <pageSetup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45A5-E755-42E3-B7AB-6113D0262266}">
  <dimension ref="A1:K247"/>
  <sheetViews>
    <sheetView view="pageBreakPreview" topLeftCell="A2" zoomScale="51" zoomScaleNormal="55" zoomScaleSheetLayoutView="51" workbookViewId="0">
      <pane xSplit="1" ySplit="8" topLeftCell="B23" activePane="bottomRight" state="frozen"/>
      <selection activeCell="A2" sqref="A2"/>
      <selection pane="topRight" activeCell="B2" sqref="B2"/>
      <selection pane="bottomLeft" activeCell="A10" sqref="A10"/>
      <selection pane="bottomRight" activeCell="D4" sqref="D4:D5"/>
    </sheetView>
  </sheetViews>
  <sheetFormatPr baseColWidth="10" defaultColWidth="11.42578125" defaultRowHeight="23.25" x14ac:dyDescent="0.35"/>
  <cols>
    <col min="1" max="1" width="11.42578125" style="14"/>
    <col min="2" max="2" width="8" style="14" customWidth="1"/>
    <col min="3" max="3" width="56.140625" style="14" customWidth="1"/>
    <col min="4" max="4" width="21.140625" style="14" customWidth="1"/>
    <col min="5" max="5" width="34.42578125" style="14" customWidth="1"/>
    <col min="6" max="6" width="34.42578125" style="30" customWidth="1"/>
    <col min="7" max="7" width="37.28515625" style="30" customWidth="1"/>
    <col min="8" max="11" width="31.7109375" style="30" customWidth="1"/>
    <col min="12" max="16384" width="11.42578125" style="14"/>
  </cols>
  <sheetData>
    <row r="1" spans="1:11" ht="27.95" customHeight="1" x14ac:dyDescent="0.35">
      <c r="A1" s="29"/>
    </row>
    <row r="2" spans="1:11" ht="27.95" customHeight="1" x14ac:dyDescent="0.35">
      <c r="A2" s="29"/>
      <c r="C2" s="4" t="s">
        <v>29</v>
      </c>
      <c r="D2" s="5" t="s">
        <v>30</v>
      </c>
      <c r="F2" s="4"/>
    </row>
    <row r="3" spans="1:11" ht="27.95" customHeight="1" x14ac:dyDescent="0.35">
      <c r="A3" s="29"/>
      <c r="C3" s="4" t="s">
        <v>71</v>
      </c>
      <c r="D3" s="5" t="s">
        <v>72</v>
      </c>
      <c r="F3" s="4"/>
    </row>
    <row r="4" spans="1:11" ht="27.95" customHeight="1" x14ac:dyDescent="0.35">
      <c r="A4" s="29"/>
      <c r="C4" s="4" t="s">
        <v>1</v>
      </c>
      <c r="D4" s="5" t="s">
        <v>115</v>
      </c>
      <c r="E4" s="5"/>
      <c r="F4" s="4"/>
    </row>
    <row r="5" spans="1:11" ht="27.95" customHeight="1" x14ac:dyDescent="0.35">
      <c r="A5" s="29"/>
      <c r="C5" s="4" t="s">
        <v>2</v>
      </c>
      <c r="D5" s="5" t="s">
        <v>116</v>
      </c>
      <c r="E5" s="5"/>
      <c r="F5" s="4"/>
    </row>
    <row r="6" spans="1:11" ht="27.95" customHeight="1" thickBot="1" x14ac:dyDescent="0.4">
      <c r="A6" s="29"/>
    </row>
    <row r="7" spans="1:11" ht="33.75" customHeight="1" thickBot="1" x14ac:dyDescent="0.4">
      <c r="A7" s="29"/>
      <c r="B7" s="174" t="s">
        <v>3</v>
      </c>
      <c r="C7" s="176" t="s">
        <v>4</v>
      </c>
      <c r="D7" s="161" t="s">
        <v>78</v>
      </c>
      <c r="E7" s="162"/>
      <c r="F7" s="162"/>
      <c r="G7" s="162"/>
      <c r="H7" s="163"/>
      <c r="I7" s="178" t="s">
        <v>32</v>
      </c>
      <c r="J7" s="180" t="s">
        <v>33</v>
      </c>
      <c r="K7" s="164" t="s">
        <v>68</v>
      </c>
    </row>
    <row r="8" spans="1:11" ht="25.5" customHeight="1" thickBot="1" x14ac:dyDescent="0.4">
      <c r="A8" s="29"/>
      <c r="B8" s="175"/>
      <c r="C8" s="177"/>
      <c r="D8" s="43" t="s">
        <v>31</v>
      </c>
      <c r="E8" s="52" t="s">
        <v>34</v>
      </c>
      <c r="F8" s="51" t="s">
        <v>35</v>
      </c>
      <c r="G8" s="39" t="s">
        <v>36</v>
      </c>
      <c r="H8" s="40" t="s">
        <v>67</v>
      </c>
      <c r="I8" s="179"/>
      <c r="J8" s="181"/>
      <c r="K8" s="165"/>
    </row>
    <row r="9" spans="1:11" s="31" customFormat="1" ht="21" customHeight="1" x14ac:dyDescent="0.35">
      <c r="A9" s="29"/>
      <c r="B9" s="7"/>
      <c r="C9" s="8"/>
      <c r="D9" s="12"/>
      <c r="E9" s="11"/>
      <c r="F9" s="53"/>
      <c r="G9" s="11"/>
      <c r="H9" s="25"/>
      <c r="I9" s="25"/>
      <c r="J9" s="143"/>
      <c r="K9" s="26"/>
    </row>
    <row r="10" spans="1:11" ht="30" hidden="1" customHeight="1" x14ac:dyDescent="0.35">
      <c r="B10" s="44">
        <f>SUBTOTAL(103,$C10:C$10)</f>
        <v>0</v>
      </c>
      <c r="C10" s="45" t="s">
        <v>87</v>
      </c>
      <c r="D10" s="55">
        <v>0</v>
      </c>
      <c r="E10" s="122">
        <v>0</v>
      </c>
      <c r="F10" s="56">
        <v>0</v>
      </c>
      <c r="G10" s="54">
        <v>0</v>
      </c>
      <c r="H10" s="57">
        <f>+F10+G10</f>
        <v>0</v>
      </c>
      <c r="I10" s="123">
        <v>0</v>
      </c>
      <c r="J10" s="61">
        <v>0</v>
      </c>
      <c r="K10" s="115">
        <f>+H10+I10+J10</f>
        <v>0</v>
      </c>
    </row>
    <row r="11" spans="1:11" ht="30" customHeight="1" x14ac:dyDescent="0.35">
      <c r="B11" s="44">
        <f>SUBTOTAL(103,$C$10:C11)</f>
        <v>1</v>
      </c>
      <c r="C11" s="45" t="s">
        <v>9</v>
      </c>
      <c r="D11" s="55">
        <v>2</v>
      </c>
      <c r="E11" s="122">
        <v>2163</v>
      </c>
      <c r="F11" s="56">
        <v>6100.14</v>
      </c>
      <c r="G11" s="54">
        <v>0</v>
      </c>
      <c r="H11" s="57">
        <f>+F11+G11</f>
        <v>6100.14</v>
      </c>
      <c r="I11" s="123">
        <v>0</v>
      </c>
      <c r="J11" s="149">
        <v>0</v>
      </c>
      <c r="K11" s="115">
        <f>+H11+I11+J11</f>
        <v>6100.14</v>
      </c>
    </row>
    <row r="12" spans="1:11" ht="30" customHeight="1" x14ac:dyDescent="0.35">
      <c r="B12" s="44">
        <f>SUBTOTAL(103,$C$10:C12)</f>
        <v>2</v>
      </c>
      <c r="C12" s="45" t="s">
        <v>10</v>
      </c>
      <c r="D12" s="55">
        <v>15</v>
      </c>
      <c r="E12" s="122">
        <v>31528</v>
      </c>
      <c r="F12" s="56">
        <v>37000.94</v>
      </c>
      <c r="G12" s="54">
        <v>0</v>
      </c>
      <c r="H12" s="57">
        <f t="shared" ref="H12:H38" si="0">+F12+G12</f>
        <v>37000.94</v>
      </c>
      <c r="I12" s="123">
        <v>58930</v>
      </c>
      <c r="J12" s="149">
        <v>0</v>
      </c>
      <c r="K12" s="115">
        <f t="shared" ref="K12:K45" si="1">+H12+I12+J12</f>
        <v>95930.94</v>
      </c>
    </row>
    <row r="13" spans="1:11" ht="30" hidden="1" customHeight="1" x14ac:dyDescent="0.35">
      <c r="B13" s="44">
        <f>SUBTOTAL(103,$C$10:C13)</f>
        <v>2</v>
      </c>
      <c r="C13" s="45" t="s">
        <v>113</v>
      </c>
      <c r="D13" s="55">
        <v>5</v>
      </c>
      <c r="E13" s="122">
        <v>0</v>
      </c>
      <c r="F13" s="56">
        <v>0</v>
      </c>
      <c r="G13" s="54">
        <v>0</v>
      </c>
      <c r="H13" s="57">
        <f t="shared" si="0"/>
        <v>0</v>
      </c>
      <c r="I13" s="123">
        <v>0</v>
      </c>
      <c r="J13" s="149">
        <v>0</v>
      </c>
      <c r="K13" s="115"/>
    </row>
    <row r="14" spans="1:11" ht="30" customHeight="1" x14ac:dyDescent="0.35">
      <c r="B14" s="44">
        <f>SUBTOTAL(103,$C$10:C14)</f>
        <v>3</v>
      </c>
      <c r="C14" s="45" t="s">
        <v>85</v>
      </c>
      <c r="D14" s="55">
        <v>7</v>
      </c>
      <c r="E14" s="122">
        <v>13012.46</v>
      </c>
      <c r="F14" s="56">
        <v>23318.86</v>
      </c>
      <c r="G14" s="54">
        <v>0</v>
      </c>
      <c r="H14" s="57">
        <f t="shared" si="0"/>
        <v>23318.86</v>
      </c>
      <c r="I14" s="123">
        <v>0</v>
      </c>
      <c r="J14" s="149">
        <v>0</v>
      </c>
      <c r="K14" s="115">
        <f t="shared" si="1"/>
        <v>23318.86</v>
      </c>
    </row>
    <row r="15" spans="1:11" ht="30" customHeight="1" x14ac:dyDescent="0.35">
      <c r="B15" s="44">
        <f>SUBTOTAL(103,$C$10:C15)</f>
        <v>4</v>
      </c>
      <c r="C15" s="45" t="s">
        <v>90</v>
      </c>
      <c r="D15" s="55">
        <v>4</v>
      </c>
      <c r="E15" s="122">
        <v>0</v>
      </c>
      <c r="F15" s="56">
        <v>9652.02</v>
      </c>
      <c r="G15" s="54">
        <v>0</v>
      </c>
      <c r="H15" s="57">
        <f t="shared" si="0"/>
        <v>9652.02</v>
      </c>
      <c r="I15" s="123">
        <v>0</v>
      </c>
      <c r="J15" s="149">
        <v>0</v>
      </c>
      <c r="K15" s="115">
        <f t="shared" ref="K15:K23" si="2">+H15+I15+J15</f>
        <v>9652.02</v>
      </c>
    </row>
    <row r="16" spans="1:11" ht="30" hidden="1" customHeight="1" x14ac:dyDescent="0.35">
      <c r="B16" s="44">
        <f>SUBTOTAL(103,$C$10:C16)</f>
        <v>4</v>
      </c>
      <c r="C16" s="45" t="s">
        <v>108</v>
      </c>
      <c r="D16" s="55">
        <v>0</v>
      </c>
      <c r="E16" s="122">
        <v>0</v>
      </c>
      <c r="F16" s="56">
        <v>0</v>
      </c>
      <c r="G16" s="54">
        <v>0</v>
      </c>
      <c r="H16" s="57">
        <f t="shared" si="0"/>
        <v>0</v>
      </c>
      <c r="I16" s="123">
        <v>0</v>
      </c>
      <c r="J16" s="149">
        <v>0</v>
      </c>
      <c r="K16" s="115">
        <f t="shared" si="2"/>
        <v>0</v>
      </c>
    </row>
    <row r="17" spans="2:11" ht="30" hidden="1" customHeight="1" x14ac:dyDescent="0.35">
      <c r="B17" s="44">
        <f>SUBTOTAL(103,$C$10:C17)</f>
        <v>4</v>
      </c>
      <c r="C17" s="45" t="s">
        <v>110</v>
      </c>
      <c r="D17" s="55">
        <v>0</v>
      </c>
      <c r="E17" s="122">
        <v>0</v>
      </c>
      <c r="F17" s="56">
        <v>0</v>
      </c>
      <c r="G17" s="54">
        <v>0</v>
      </c>
      <c r="H17" s="57">
        <f t="shared" si="0"/>
        <v>0</v>
      </c>
      <c r="I17" s="123">
        <v>0</v>
      </c>
      <c r="J17" s="149">
        <v>0</v>
      </c>
      <c r="K17" s="115">
        <f t="shared" si="2"/>
        <v>0</v>
      </c>
    </row>
    <row r="18" spans="2:11" s="17" customFormat="1" ht="30" customHeight="1" x14ac:dyDescent="0.35">
      <c r="B18" s="44">
        <f>SUBTOTAL(103,$C$10:C18)</f>
        <v>5</v>
      </c>
      <c r="C18" s="28" t="s">
        <v>91</v>
      </c>
      <c r="D18" s="55">
        <v>4</v>
      </c>
      <c r="E18" s="61">
        <v>14037.62</v>
      </c>
      <c r="F18" s="56">
        <v>14152.05</v>
      </c>
      <c r="G18" s="54">
        <v>0</v>
      </c>
      <c r="H18" s="57">
        <f t="shared" si="0"/>
        <v>14152.05</v>
      </c>
      <c r="I18" s="123">
        <v>11500</v>
      </c>
      <c r="J18" s="149">
        <v>0</v>
      </c>
      <c r="K18" s="115">
        <f t="shared" si="2"/>
        <v>25652.05</v>
      </c>
    </row>
    <row r="19" spans="2:11" s="17" customFormat="1" ht="30" hidden="1" customHeight="1" x14ac:dyDescent="0.35">
      <c r="B19" s="44">
        <f>SUBTOTAL(103,$C$10:C19)</f>
        <v>5</v>
      </c>
      <c r="C19" s="28" t="s">
        <v>96</v>
      </c>
      <c r="D19" s="55">
        <v>0</v>
      </c>
      <c r="E19" s="122">
        <v>0</v>
      </c>
      <c r="F19" s="56">
        <v>0</v>
      </c>
      <c r="G19" s="54">
        <v>0</v>
      </c>
      <c r="H19" s="57">
        <f t="shared" si="0"/>
        <v>0</v>
      </c>
      <c r="I19" s="123">
        <v>0</v>
      </c>
      <c r="J19" s="61">
        <v>0</v>
      </c>
      <c r="K19" s="115">
        <f t="shared" si="2"/>
        <v>0</v>
      </c>
    </row>
    <row r="20" spans="2:11" s="17" customFormat="1" ht="30" customHeight="1" x14ac:dyDescent="0.35">
      <c r="B20" s="44">
        <f>SUBTOTAL(103,$C$10:C20)</f>
        <v>6</v>
      </c>
      <c r="C20" s="28" t="s">
        <v>104</v>
      </c>
      <c r="D20" s="55">
        <v>0</v>
      </c>
      <c r="E20" s="122">
        <v>0</v>
      </c>
      <c r="F20" s="56">
        <v>0</v>
      </c>
      <c r="G20" s="54">
        <v>0</v>
      </c>
      <c r="H20" s="57">
        <f t="shared" si="0"/>
        <v>0</v>
      </c>
      <c r="I20" s="123">
        <v>0</v>
      </c>
      <c r="J20" s="61">
        <v>0</v>
      </c>
      <c r="K20" s="115">
        <f t="shared" si="2"/>
        <v>0</v>
      </c>
    </row>
    <row r="21" spans="2:11" s="17" customFormat="1" ht="30" hidden="1" customHeight="1" x14ac:dyDescent="0.35">
      <c r="B21" s="44">
        <f>SUBTOTAL(103,$C$10:C21)</f>
        <v>6</v>
      </c>
      <c r="C21" s="28" t="s">
        <v>95</v>
      </c>
      <c r="D21" s="55">
        <v>0</v>
      </c>
      <c r="E21" s="122">
        <v>0</v>
      </c>
      <c r="F21" s="56">
        <v>0</v>
      </c>
      <c r="G21" s="54">
        <v>0</v>
      </c>
      <c r="H21" s="57">
        <f t="shared" si="0"/>
        <v>0</v>
      </c>
      <c r="I21" s="123">
        <v>0</v>
      </c>
      <c r="J21" s="149">
        <v>0</v>
      </c>
      <c r="K21" s="115">
        <f t="shared" si="2"/>
        <v>0</v>
      </c>
    </row>
    <row r="22" spans="2:11" s="17" customFormat="1" ht="30" customHeight="1" x14ac:dyDescent="0.35">
      <c r="B22" s="44">
        <f>SUBTOTAL(103,$C$10:C22)</f>
        <v>7</v>
      </c>
      <c r="C22" s="28" t="s">
        <v>14</v>
      </c>
      <c r="D22" s="55">
        <v>28</v>
      </c>
      <c r="E22" s="61">
        <v>86025.9</v>
      </c>
      <c r="F22" s="56">
        <v>115984.74</v>
      </c>
      <c r="G22" s="54">
        <v>0</v>
      </c>
      <c r="H22" s="57">
        <f t="shared" si="0"/>
        <v>115984.74</v>
      </c>
      <c r="I22" s="123">
        <v>147311</v>
      </c>
      <c r="J22" s="149">
        <v>302733.32</v>
      </c>
      <c r="K22" s="115">
        <f t="shared" si="2"/>
        <v>566029.06000000006</v>
      </c>
    </row>
    <row r="23" spans="2:11" ht="30" customHeight="1" x14ac:dyDescent="0.35">
      <c r="B23" s="44">
        <f>SUBTOTAL(103,$C$10:C23)</f>
        <v>8</v>
      </c>
      <c r="C23" s="45" t="s">
        <v>37</v>
      </c>
      <c r="D23" s="55">
        <v>11</v>
      </c>
      <c r="E23" s="122">
        <v>37493.25</v>
      </c>
      <c r="F23" s="56">
        <v>34022.100000000006</v>
      </c>
      <c r="G23" s="54">
        <v>0</v>
      </c>
      <c r="H23" s="57">
        <f t="shared" si="0"/>
        <v>34022.100000000006</v>
      </c>
      <c r="I23" s="123">
        <v>0</v>
      </c>
      <c r="J23" s="149">
        <v>0</v>
      </c>
      <c r="K23" s="115">
        <f t="shared" si="2"/>
        <v>34022.100000000006</v>
      </c>
    </row>
    <row r="24" spans="2:11" ht="30" hidden="1" customHeight="1" x14ac:dyDescent="0.35">
      <c r="B24" s="44">
        <f>SUBTOTAL(103,$C$10:C24)</f>
        <v>8</v>
      </c>
      <c r="C24" s="45" t="s">
        <v>16</v>
      </c>
      <c r="D24" s="55">
        <v>0</v>
      </c>
      <c r="E24" s="122">
        <v>0</v>
      </c>
      <c r="F24" s="56">
        <v>0</v>
      </c>
      <c r="G24" s="54">
        <v>0</v>
      </c>
      <c r="H24" s="57">
        <f t="shared" si="0"/>
        <v>0</v>
      </c>
      <c r="I24" s="123">
        <v>0</v>
      </c>
      <c r="J24" s="149">
        <v>0</v>
      </c>
      <c r="K24" s="115">
        <f t="shared" si="1"/>
        <v>0</v>
      </c>
    </row>
    <row r="25" spans="2:11" ht="30" customHeight="1" x14ac:dyDescent="0.35">
      <c r="B25" s="44">
        <f>SUBTOTAL(103,$C$10:C25)</f>
        <v>9</v>
      </c>
      <c r="C25" s="45" t="s">
        <v>38</v>
      </c>
      <c r="D25" s="58">
        <v>2</v>
      </c>
      <c r="E25" s="122">
        <v>0</v>
      </c>
      <c r="F25" s="56">
        <v>5066.04</v>
      </c>
      <c r="G25" s="56">
        <v>0</v>
      </c>
      <c r="H25" s="57">
        <f t="shared" si="0"/>
        <v>5066.04</v>
      </c>
      <c r="I25" s="62">
        <v>0</v>
      </c>
      <c r="J25" s="150">
        <v>0</v>
      </c>
      <c r="K25" s="115">
        <f t="shared" si="1"/>
        <v>5066.04</v>
      </c>
    </row>
    <row r="26" spans="2:11" ht="30" customHeight="1" x14ac:dyDescent="0.35">
      <c r="B26" s="44">
        <f>SUBTOTAL(103,$C$10:C26)</f>
        <v>10</v>
      </c>
      <c r="C26" s="15" t="s">
        <v>18</v>
      </c>
      <c r="D26" s="58">
        <v>10</v>
      </c>
      <c r="E26" s="122">
        <v>28410.28</v>
      </c>
      <c r="F26" s="56">
        <v>33887.189999999995</v>
      </c>
      <c r="G26" s="56">
        <v>0</v>
      </c>
      <c r="H26" s="57">
        <f t="shared" si="0"/>
        <v>33887.189999999995</v>
      </c>
      <c r="I26" s="62">
        <v>0</v>
      </c>
      <c r="J26" s="150">
        <v>0</v>
      </c>
      <c r="K26" s="115">
        <f t="shared" si="1"/>
        <v>33887.189999999995</v>
      </c>
    </row>
    <row r="27" spans="2:11" ht="30" hidden="1" customHeight="1" x14ac:dyDescent="0.35">
      <c r="B27" s="44">
        <f>SUBTOTAL(103,$C$10:C27)</f>
        <v>10</v>
      </c>
      <c r="C27" s="15" t="s">
        <v>19</v>
      </c>
      <c r="D27" s="55">
        <v>0</v>
      </c>
      <c r="E27" s="122">
        <v>0</v>
      </c>
      <c r="F27" s="151">
        <v>0</v>
      </c>
      <c r="G27" s="56">
        <v>0</v>
      </c>
      <c r="H27" s="57">
        <f t="shared" si="0"/>
        <v>0</v>
      </c>
      <c r="I27" s="123">
        <v>0</v>
      </c>
      <c r="J27" s="149">
        <v>0</v>
      </c>
      <c r="K27" s="115">
        <f t="shared" si="1"/>
        <v>0</v>
      </c>
    </row>
    <row r="28" spans="2:11" ht="30" customHeight="1" x14ac:dyDescent="0.35">
      <c r="B28" s="44">
        <f>SUBTOTAL(103,$C$10:C28)</f>
        <v>11</v>
      </c>
      <c r="C28" s="45" t="s">
        <v>20</v>
      </c>
      <c r="D28" s="58">
        <v>4</v>
      </c>
      <c r="E28" s="122">
        <v>11285</v>
      </c>
      <c r="F28" s="56">
        <v>38606.393427407034</v>
      </c>
      <c r="G28" s="56">
        <v>2858.889454915945</v>
      </c>
      <c r="H28" s="57">
        <f t="shared" si="0"/>
        <v>41465.282882322979</v>
      </c>
      <c r="I28" s="62">
        <v>0</v>
      </c>
      <c r="J28" s="150">
        <v>0</v>
      </c>
      <c r="K28" s="115">
        <f t="shared" si="1"/>
        <v>41465.282882322979</v>
      </c>
    </row>
    <row r="29" spans="2:11" ht="30" customHeight="1" x14ac:dyDescent="0.35">
      <c r="B29" s="44">
        <f>SUBTOTAL(103,$C$10:C29)</f>
        <v>12</v>
      </c>
      <c r="C29" s="45" t="s">
        <v>97</v>
      </c>
      <c r="D29" s="58">
        <v>0</v>
      </c>
      <c r="E29" s="122">
        <v>0</v>
      </c>
      <c r="F29" s="56">
        <v>0</v>
      </c>
      <c r="G29" s="56">
        <v>0</v>
      </c>
      <c r="H29" s="57">
        <f t="shared" si="0"/>
        <v>0</v>
      </c>
      <c r="I29" s="62">
        <v>0</v>
      </c>
      <c r="J29" s="150">
        <v>371.19999999999993</v>
      </c>
      <c r="K29" s="115">
        <f t="shared" si="1"/>
        <v>371.19999999999993</v>
      </c>
    </row>
    <row r="30" spans="2:11" ht="30" customHeight="1" x14ac:dyDescent="0.35">
      <c r="B30" s="44">
        <f>SUBTOTAL(103,$C$10:C30)</f>
        <v>13</v>
      </c>
      <c r="C30" s="45" t="s">
        <v>88</v>
      </c>
      <c r="D30" s="58">
        <v>0</v>
      </c>
      <c r="E30" s="122">
        <v>0</v>
      </c>
      <c r="F30" s="56">
        <v>0</v>
      </c>
      <c r="G30" s="54">
        <v>0</v>
      </c>
      <c r="H30" s="57">
        <f t="shared" si="0"/>
        <v>0</v>
      </c>
      <c r="I30" s="62">
        <v>0</v>
      </c>
      <c r="J30" s="150">
        <v>0</v>
      </c>
      <c r="K30" s="115">
        <f t="shared" si="1"/>
        <v>0</v>
      </c>
    </row>
    <row r="31" spans="2:11" ht="30" customHeight="1" x14ac:dyDescent="0.35">
      <c r="B31" s="44">
        <f>SUBTOTAL(103,$C$10:C31)</f>
        <v>14</v>
      </c>
      <c r="C31" s="28" t="s">
        <v>39</v>
      </c>
      <c r="D31" s="58">
        <v>3</v>
      </c>
      <c r="E31" s="122">
        <v>0</v>
      </c>
      <c r="F31" s="56">
        <v>9652.02</v>
      </c>
      <c r="G31" s="54">
        <v>0</v>
      </c>
      <c r="H31" s="57">
        <f t="shared" si="0"/>
        <v>9652.02</v>
      </c>
      <c r="I31" s="62">
        <v>0</v>
      </c>
      <c r="J31" s="150">
        <v>0</v>
      </c>
      <c r="K31" s="115">
        <f t="shared" si="1"/>
        <v>9652.02</v>
      </c>
    </row>
    <row r="32" spans="2:11" ht="30" hidden="1" customHeight="1" x14ac:dyDescent="0.35">
      <c r="B32" s="44">
        <f>SUBTOTAL(103,$C$10:C32)</f>
        <v>14</v>
      </c>
      <c r="C32" s="28" t="s">
        <v>109</v>
      </c>
      <c r="D32" s="58">
        <v>0</v>
      </c>
      <c r="E32" s="122">
        <v>0</v>
      </c>
      <c r="F32" s="54">
        <v>0</v>
      </c>
      <c r="G32" s="54">
        <v>0</v>
      </c>
      <c r="H32" s="57">
        <f t="shared" si="0"/>
        <v>0</v>
      </c>
      <c r="I32" s="62">
        <v>0</v>
      </c>
      <c r="J32" s="150">
        <v>0</v>
      </c>
      <c r="K32" s="115">
        <f t="shared" si="1"/>
        <v>0</v>
      </c>
    </row>
    <row r="33" spans="2:11" ht="30" customHeight="1" x14ac:dyDescent="0.35">
      <c r="B33" s="44">
        <f>SUBTOTAL(103,$C$10:C33)</f>
        <v>15</v>
      </c>
      <c r="C33" s="28" t="s">
        <v>40</v>
      </c>
      <c r="D33" s="58">
        <v>11</v>
      </c>
      <c r="E33" s="61">
        <v>30900</v>
      </c>
      <c r="F33" s="56">
        <v>37582.289429444725</v>
      </c>
      <c r="G33" s="54">
        <v>855.83290881304129</v>
      </c>
      <c r="H33" s="57">
        <f t="shared" si="0"/>
        <v>38438.122338257766</v>
      </c>
      <c r="I33" s="62">
        <v>2750</v>
      </c>
      <c r="J33" s="150">
        <v>0</v>
      </c>
      <c r="K33" s="115">
        <f t="shared" si="1"/>
        <v>41188.122338257766</v>
      </c>
    </row>
    <row r="34" spans="2:11" ht="30" hidden="1" customHeight="1" x14ac:dyDescent="0.35">
      <c r="B34" s="44">
        <f>SUBTOTAL(103,$C$10:C34)</f>
        <v>15</v>
      </c>
      <c r="C34" s="45" t="s">
        <v>81</v>
      </c>
      <c r="D34" s="58">
        <v>0</v>
      </c>
      <c r="E34" s="122">
        <v>0</v>
      </c>
      <c r="F34" s="56">
        <v>0</v>
      </c>
      <c r="G34" s="54">
        <v>0</v>
      </c>
      <c r="H34" s="57">
        <f t="shared" si="0"/>
        <v>0</v>
      </c>
      <c r="I34" s="62">
        <v>0</v>
      </c>
      <c r="J34" s="150">
        <v>0</v>
      </c>
      <c r="K34" s="115">
        <f>+H34+I34+J34</f>
        <v>0</v>
      </c>
    </row>
    <row r="35" spans="2:11" ht="30" hidden="1" customHeight="1" x14ac:dyDescent="0.35">
      <c r="B35" s="44">
        <f>SUBTOTAL(103,$C$10:C35)</f>
        <v>15</v>
      </c>
      <c r="C35" s="45" t="s">
        <v>28</v>
      </c>
      <c r="D35" s="58">
        <v>0</v>
      </c>
      <c r="E35" s="122">
        <v>0</v>
      </c>
      <c r="F35" s="56">
        <v>0</v>
      </c>
      <c r="G35" s="54">
        <v>0</v>
      </c>
      <c r="H35" s="57">
        <f t="shared" si="0"/>
        <v>0</v>
      </c>
      <c r="I35" s="62">
        <v>0</v>
      </c>
      <c r="J35" s="150">
        <v>0</v>
      </c>
      <c r="K35" s="115">
        <f>+H35+I35+J35</f>
        <v>0</v>
      </c>
    </row>
    <row r="36" spans="2:11" ht="30" hidden="1" customHeight="1" x14ac:dyDescent="0.35">
      <c r="B36" s="44">
        <f>SUBTOTAL(103,$C$10:C36)</f>
        <v>15</v>
      </c>
      <c r="C36" s="45" t="s">
        <v>83</v>
      </c>
      <c r="D36" s="58">
        <v>0</v>
      </c>
      <c r="E36" s="122">
        <v>0</v>
      </c>
      <c r="F36" s="56">
        <v>0</v>
      </c>
      <c r="G36" s="54">
        <v>0</v>
      </c>
      <c r="H36" s="57">
        <f t="shared" si="0"/>
        <v>0</v>
      </c>
      <c r="I36" s="62">
        <v>0</v>
      </c>
      <c r="J36" s="150">
        <v>0</v>
      </c>
      <c r="K36" s="115">
        <f t="shared" si="1"/>
        <v>0</v>
      </c>
    </row>
    <row r="37" spans="2:11" ht="30" customHeight="1" x14ac:dyDescent="0.35">
      <c r="B37" s="44">
        <f>SUBTOTAL(103,$C$10:C37)</f>
        <v>16</v>
      </c>
      <c r="C37" s="45" t="s">
        <v>24</v>
      </c>
      <c r="D37" s="58">
        <v>30</v>
      </c>
      <c r="E37" s="122">
        <v>187778.71</v>
      </c>
      <c r="F37" s="56">
        <v>150206.52714314824</v>
      </c>
      <c r="G37" s="54">
        <v>38059.917636271006</v>
      </c>
      <c r="H37" s="57">
        <f t="shared" si="0"/>
        <v>188266.44477941925</v>
      </c>
      <c r="I37" s="62">
        <v>0</v>
      </c>
      <c r="J37" s="150">
        <v>13920</v>
      </c>
      <c r="K37" s="115">
        <f t="shared" si="1"/>
        <v>202186.44477941925</v>
      </c>
    </row>
    <row r="38" spans="2:11" ht="30" customHeight="1" x14ac:dyDescent="0.35">
      <c r="B38" s="44">
        <f>SUBTOTAL(103,$C$10:C38)</f>
        <v>17</v>
      </c>
      <c r="C38" s="45" t="s">
        <v>89</v>
      </c>
      <c r="D38" s="58">
        <v>18</v>
      </c>
      <c r="E38" s="122">
        <v>46999.5</v>
      </c>
      <c r="F38" s="56">
        <v>54900.42</v>
      </c>
      <c r="G38" s="54">
        <v>10399.5</v>
      </c>
      <c r="H38" s="57">
        <f t="shared" si="0"/>
        <v>65299.92</v>
      </c>
      <c r="I38" s="62">
        <v>66568</v>
      </c>
      <c r="J38" s="150">
        <v>0</v>
      </c>
      <c r="K38" s="115">
        <f t="shared" si="1"/>
        <v>131867.91999999998</v>
      </c>
    </row>
    <row r="39" spans="2:11" ht="30" customHeight="1" thickBot="1" x14ac:dyDescent="0.4">
      <c r="B39" s="44">
        <f>SUBTOTAL(103,$C$10:C39)</f>
        <v>18</v>
      </c>
      <c r="C39" s="28" t="s">
        <v>41</v>
      </c>
      <c r="D39" s="58">
        <v>25</v>
      </c>
      <c r="E39" s="61">
        <v>0</v>
      </c>
      <c r="F39" s="56">
        <v>0</v>
      </c>
      <c r="G39" s="54">
        <v>0</v>
      </c>
      <c r="H39" s="57">
        <f t="shared" ref="H39:H45" si="3">+F39+G39</f>
        <v>0</v>
      </c>
      <c r="I39" s="62">
        <v>0</v>
      </c>
      <c r="J39" s="150">
        <v>0</v>
      </c>
      <c r="K39" s="116">
        <f t="shared" si="1"/>
        <v>0</v>
      </c>
    </row>
    <row r="40" spans="2:11" ht="30" hidden="1" customHeight="1" x14ac:dyDescent="0.35">
      <c r="B40" s="44">
        <f>SUBTOTAL(103,$C$10:C40)</f>
        <v>18</v>
      </c>
      <c r="C40" s="46" t="s">
        <v>82</v>
      </c>
      <c r="D40" s="59">
        <v>0</v>
      </c>
      <c r="E40" s="61">
        <v>0</v>
      </c>
      <c r="F40" s="56">
        <v>0</v>
      </c>
      <c r="G40" s="56">
        <v>0</v>
      </c>
      <c r="H40" s="57">
        <f t="shared" si="3"/>
        <v>0</v>
      </c>
      <c r="I40" s="62">
        <v>0</v>
      </c>
      <c r="J40" s="63">
        <v>0</v>
      </c>
      <c r="K40" s="144">
        <f t="shared" si="1"/>
        <v>0</v>
      </c>
    </row>
    <row r="41" spans="2:11" ht="30" hidden="1" customHeight="1" thickBot="1" x14ac:dyDescent="0.4">
      <c r="B41" s="44">
        <f>SUBTOTAL(103,$C$10:C41)</f>
        <v>18</v>
      </c>
      <c r="C41" s="46" t="s">
        <v>92</v>
      </c>
      <c r="D41" s="59">
        <v>0</v>
      </c>
      <c r="E41" s="61">
        <v>0</v>
      </c>
      <c r="F41" s="56">
        <v>0</v>
      </c>
      <c r="G41" s="56">
        <v>0</v>
      </c>
      <c r="H41" s="57">
        <f t="shared" si="3"/>
        <v>0</v>
      </c>
      <c r="I41" s="62">
        <v>0</v>
      </c>
      <c r="J41" s="63">
        <v>0</v>
      </c>
      <c r="K41" s="16">
        <f t="shared" si="1"/>
        <v>0</v>
      </c>
    </row>
    <row r="42" spans="2:11" ht="30" hidden="1" customHeight="1" x14ac:dyDescent="0.35">
      <c r="B42" s="44">
        <f>SUBTOTAL(103,$C$10:C42)</f>
        <v>18</v>
      </c>
      <c r="C42" s="46" t="s">
        <v>80</v>
      </c>
      <c r="D42" s="59">
        <v>0</v>
      </c>
      <c r="E42" s="61">
        <v>0</v>
      </c>
      <c r="F42" s="56">
        <v>0</v>
      </c>
      <c r="G42" s="56">
        <v>0</v>
      </c>
      <c r="H42" s="57">
        <f t="shared" si="3"/>
        <v>0</v>
      </c>
      <c r="I42" s="62">
        <v>0</v>
      </c>
      <c r="J42" s="63">
        <v>0</v>
      </c>
      <c r="K42" s="16">
        <f t="shared" si="1"/>
        <v>0</v>
      </c>
    </row>
    <row r="43" spans="2:11" ht="30" hidden="1" customHeight="1" x14ac:dyDescent="0.35">
      <c r="B43" s="44">
        <f>SUBTOTAL(103,$C$10:C43)</f>
        <v>18</v>
      </c>
      <c r="C43" s="46" t="s">
        <v>93</v>
      </c>
      <c r="D43" s="59">
        <v>0</v>
      </c>
      <c r="E43" s="61">
        <v>0</v>
      </c>
      <c r="F43" s="56">
        <v>0</v>
      </c>
      <c r="G43" s="56">
        <v>0</v>
      </c>
      <c r="H43" s="57">
        <f t="shared" si="3"/>
        <v>0</v>
      </c>
      <c r="I43" s="62">
        <v>0</v>
      </c>
      <c r="J43" s="63">
        <v>0</v>
      </c>
      <c r="K43" s="16">
        <f t="shared" si="1"/>
        <v>0</v>
      </c>
    </row>
    <row r="44" spans="2:11" ht="30" hidden="1" customHeight="1" x14ac:dyDescent="0.35">
      <c r="B44" s="44">
        <f>SUBTOTAL(103,$C$10:C44)</f>
        <v>18</v>
      </c>
      <c r="C44" s="46" t="s">
        <v>79</v>
      </c>
      <c r="D44" s="59">
        <v>0</v>
      </c>
      <c r="E44" s="61">
        <v>0</v>
      </c>
      <c r="F44" s="56">
        <v>0</v>
      </c>
      <c r="G44" s="56">
        <v>0</v>
      </c>
      <c r="H44" s="57">
        <f t="shared" si="3"/>
        <v>0</v>
      </c>
      <c r="I44" s="62">
        <v>0</v>
      </c>
      <c r="J44" s="63">
        <v>0</v>
      </c>
      <c r="K44" s="16">
        <f t="shared" si="1"/>
        <v>0</v>
      </c>
    </row>
    <row r="45" spans="2:11" ht="30" hidden="1" customHeight="1" thickBot="1" x14ac:dyDescent="0.4">
      <c r="B45" s="44">
        <f>SUBTOTAL(103,$C$10:C45)</f>
        <v>18</v>
      </c>
      <c r="C45" s="46" t="s">
        <v>42</v>
      </c>
      <c r="D45" s="59">
        <v>0</v>
      </c>
      <c r="E45" s="64">
        <v>0</v>
      </c>
      <c r="F45" s="65">
        <v>0</v>
      </c>
      <c r="G45" s="65">
        <v>0</v>
      </c>
      <c r="H45" s="57">
        <f t="shared" si="3"/>
        <v>0</v>
      </c>
      <c r="I45" s="66">
        <v>0</v>
      </c>
      <c r="J45" s="63">
        <v>0</v>
      </c>
      <c r="K45" s="16">
        <f t="shared" si="1"/>
        <v>0</v>
      </c>
    </row>
    <row r="46" spans="2:11" ht="30" customHeight="1" thickBot="1" x14ac:dyDescent="0.4">
      <c r="B46" s="37"/>
      <c r="C46" s="38" t="s">
        <v>5</v>
      </c>
      <c r="D46" s="38">
        <f>SUM(D10:D45)</f>
        <v>179</v>
      </c>
      <c r="E46" s="50">
        <f t="shared" ref="E46:K46" si="4">SUM(E10:E45)</f>
        <v>489633.72</v>
      </c>
      <c r="F46" s="48">
        <f t="shared" si="4"/>
        <v>570131.73</v>
      </c>
      <c r="G46" s="48">
        <f t="shared" si="4"/>
        <v>52174.139999999992</v>
      </c>
      <c r="H46" s="19">
        <f t="shared" si="4"/>
        <v>622305.87000000011</v>
      </c>
      <c r="I46" s="47">
        <f t="shared" si="4"/>
        <v>287059</v>
      </c>
      <c r="J46" s="19">
        <f t="shared" si="4"/>
        <v>317024.52</v>
      </c>
      <c r="K46" s="20">
        <f t="shared" si="4"/>
        <v>1226389.3899999999</v>
      </c>
    </row>
    <row r="47" spans="2:11" ht="23.1" customHeight="1" x14ac:dyDescent="0.35"/>
    <row r="48" spans="2:11" s="17" customFormat="1" ht="22.5" customHeight="1" x14ac:dyDescent="0.35">
      <c r="F48" s="32"/>
      <c r="G48" s="32"/>
      <c r="H48" s="32"/>
      <c r="I48" s="32"/>
      <c r="J48" s="35"/>
      <c r="K48" s="33"/>
    </row>
    <row r="49" spans="6:11" s="17" customFormat="1" ht="22.5" customHeight="1" x14ac:dyDescent="0.35">
      <c r="I49" s="32"/>
      <c r="J49" s="35"/>
      <c r="K49" s="34"/>
    </row>
    <row r="50" spans="6:11" s="17" customFormat="1" ht="22.5" customHeight="1" x14ac:dyDescent="0.35">
      <c r="J50" s="35"/>
      <c r="K50" s="34"/>
    </row>
    <row r="51" spans="6:11" s="17" customFormat="1" ht="22.5" customHeight="1" x14ac:dyDescent="0.35">
      <c r="J51" s="35"/>
      <c r="K51" s="34"/>
    </row>
    <row r="52" spans="6:11" s="17" customFormat="1" ht="22.5" customHeight="1" x14ac:dyDescent="0.35">
      <c r="K52" s="36"/>
    </row>
    <row r="53" spans="6:11" s="17" customFormat="1" ht="22.5" customHeight="1" x14ac:dyDescent="0.35"/>
    <row r="54" spans="6:11" s="17" customFormat="1" ht="22.5" customHeight="1" x14ac:dyDescent="0.35"/>
    <row r="55" spans="6:11" ht="23.1" customHeight="1" x14ac:dyDescent="0.35">
      <c r="F55" s="17"/>
      <c r="G55" s="17"/>
      <c r="H55" s="17"/>
      <c r="I55" s="17"/>
      <c r="J55" s="17"/>
      <c r="K55" s="14"/>
    </row>
    <row r="56" spans="6:11" ht="23.1" customHeight="1" x14ac:dyDescent="0.35">
      <c r="F56" s="17"/>
      <c r="G56" s="17"/>
      <c r="H56" s="17"/>
      <c r="I56" s="17"/>
      <c r="J56" s="17"/>
      <c r="K56" s="14"/>
    </row>
    <row r="57" spans="6:11" ht="22.5" customHeight="1" x14ac:dyDescent="0.35">
      <c r="F57" s="17"/>
      <c r="G57" s="17"/>
      <c r="H57" s="17"/>
      <c r="I57" s="17"/>
      <c r="J57" s="17"/>
      <c r="K57" s="14"/>
    </row>
    <row r="58" spans="6:11" s="17" customFormat="1" ht="22.5" customHeight="1" x14ac:dyDescent="0.35"/>
    <row r="59" spans="6:11" s="17" customFormat="1" ht="22.5" customHeight="1" x14ac:dyDescent="0.35"/>
    <row r="60" spans="6:11" s="17" customFormat="1" ht="22.5" customHeight="1" x14ac:dyDescent="0.35"/>
    <row r="61" spans="6:11" s="17" customFormat="1" ht="22.5" customHeight="1" x14ac:dyDescent="0.35"/>
    <row r="62" spans="6:11" s="17" customFormat="1" ht="22.5" customHeight="1" x14ac:dyDescent="0.35"/>
    <row r="63" spans="6:11" s="17" customFormat="1" ht="22.5" customHeight="1" x14ac:dyDescent="0.35"/>
    <row r="64" spans="6:11" s="17" customFormat="1" ht="22.5" customHeight="1" x14ac:dyDescent="0.35">
      <c r="F64" s="32"/>
      <c r="G64" s="32"/>
      <c r="H64" s="32"/>
      <c r="I64" s="32"/>
      <c r="J64" s="32"/>
      <c r="K64" s="32"/>
    </row>
    <row r="65" spans="6:11" s="17" customFormat="1" ht="22.5" customHeight="1" x14ac:dyDescent="0.35">
      <c r="F65" s="32"/>
      <c r="G65" s="32"/>
      <c r="H65" s="32"/>
      <c r="I65" s="32"/>
      <c r="J65" s="32"/>
      <c r="K65" s="32"/>
    </row>
    <row r="66" spans="6:11" s="17" customFormat="1" ht="22.5" customHeight="1" x14ac:dyDescent="0.35">
      <c r="F66" s="32"/>
      <c r="G66" s="32"/>
      <c r="H66" s="32"/>
      <c r="I66" s="32"/>
      <c r="J66" s="32"/>
      <c r="K66" s="32"/>
    </row>
    <row r="67" spans="6:11" s="17" customFormat="1" ht="22.5" customHeight="1" x14ac:dyDescent="0.35">
      <c r="F67" s="32"/>
      <c r="G67" s="32"/>
      <c r="H67" s="32"/>
      <c r="I67" s="32"/>
      <c r="J67" s="32"/>
      <c r="K67" s="32"/>
    </row>
    <row r="68" spans="6:11" s="17" customFormat="1" ht="22.5" customHeight="1" x14ac:dyDescent="0.35">
      <c r="F68" s="32"/>
      <c r="G68" s="32"/>
      <c r="H68" s="32"/>
      <c r="I68" s="32"/>
      <c r="J68" s="32"/>
      <c r="K68" s="32"/>
    </row>
    <row r="69" spans="6:11" s="17" customFormat="1" ht="22.5" customHeight="1" x14ac:dyDescent="0.35">
      <c r="F69" s="32"/>
      <c r="G69" s="32"/>
      <c r="H69" s="32"/>
      <c r="I69" s="32"/>
      <c r="J69" s="32"/>
      <c r="K69" s="32"/>
    </row>
    <row r="70" spans="6:11" s="17" customFormat="1" ht="22.5" customHeight="1" x14ac:dyDescent="0.35">
      <c r="F70" s="32"/>
      <c r="G70" s="32"/>
      <c r="H70" s="32"/>
      <c r="I70" s="32"/>
      <c r="J70" s="32"/>
      <c r="K70" s="32"/>
    </row>
    <row r="71" spans="6:11" s="17" customFormat="1" ht="22.5" customHeight="1" x14ac:dyDescent="0.35">
      <c r="F71" s="32"/>
      <c r="G71" s="32"/>
      <c r="H71" s="32"/>
      <c r="I71" s="32"/>
      <c r="J71" s="32"/>
      <c r="K71" s="32"/>
    </row>
    <row r="72" spans="6:11" s="17" customFormat="1" ht="22.5" customHeight="1" x14ac:dyDescent="0.35">
      <c r="F72" s="32"/>
      <c r="G72" s="32"/>
      <c r="H72" s="32"/>
      <c r="I72" s="32"/>
      <c r="J72" s="32"/>
      <c r="K72" s="32"/>
    </row>
    <row r="73" spans="6:11" s="17" customFormat="1" ht="22.5" customHeight="1" x14ac:dyDescent="0.35">
      <c r="F73" s="32"/>
      <c r="G73" s="32"/>
      <c r="H73" s="32"/>
      <c r="I73" s="32"/>
      <c r="J73" s="32"/>
      <c r="K73" s="32"/>
    </row>
    <row r="74" spans="6:11" s="17" customFormat="1" ht="22.5" customHeight="1" x14ac:dyDescent="0.35">
      <c r="F74" s="32"/>
      <c r="G74" s="32"/>
      <c r="H74" s="32"/>
      <c r="I74" s="32"/>
      <c r="J74" s="32"/>
      <c r="K74" s="32"/>
    </row>
    <row r="75" spans="6:11" s="17" customFormat="1" ht="22.5" customHeight="1" x14ac:dyDescent="0.35">
      <c r="F75" s="32"/>
      <c r="G75" s="32"/>
      <c r="H75" s="32"/>
      <c r="I75" s="32"/>
      <c r="J75" s="32"/>
      <c r="K75" s="32"/>
    </row>
    <row r="76" spans="6:11" s="17" customFormat="1" ht="22.5" customHeight="1" x14ac:dyDescent="0.35">
      <c r="F76" s="32"/>
      <c r="G76" s="32"/>
      <c r="H76" s="32"/>
      <c r="I76" s="32"/>
      <c r="J76" s="32"/>
      <c r="K76" s="32"/>
    </row>
    <row r="77" spans="6:11" s="17" customFormat="1" ht="22.5" customHeight="1" x14ac:dyDescent="0.35">
      <c r="F77" s="32"/>
      <c r="G77" s="32"/>
      <c r="H77" s="32"/>
      <c r="I77" s="32"/>
      <c r="J77" s="32"/>
      <c r="K77" s="32"/>
    </row>
    <row r="78" spans="6:11" s="17" customFormat="1" ht="22.5" customHeight="1" x14ac:dyDescent="0.35">
      <c r="F78" s="32"/>
      <c r="G78" s="32"/>
      <c r="H78" s="32"/>
      <c r="I78" s="32"/>
      <c r="J78" s="32"/>
      <c r="K78" s="32"/>
    </row>
    <row r="79" spans="6:11" s="17" customFormat="1" ht="22.5" customHeight="1" x14ac:dyDescent="0.35">
      <c r="F79" s="32"/>
      <c r="G79" s="32"/>
      <c r="H79" s="32"/>
      <c r="I79" s="32"/>
      <c r="J79" s="32"/>
      <c r="K79" s="32"/>
    </row>
    <row r="80" spans="6:11" s="17" customFormat="1" ht="22.5" customHeight="1" x14ac:dyDescent="0.35">
      <c r="F80" s="32"/>
      <c r="G80" s="32"/>
      <c r="H80" s="32"/>
      <c r="I80" s="32"/>
      <c r="J80" s="32"/>
      <c r="K80" s="32"/>
    </row>
    <row r="81" spans="6:11" s="17" customFormat="1" ht="22.5" customHeight="1" x14ac:dyDescent="0.35">
      <c r="F81" s="32"/>
      <c r="G81" s="32"/>
      <c r="H81" s="32"/>
      <c r="I81" s="32"/>
      <c r="J81" s="32"/>
      <c r="K81" s="32"/>
    </row>
    <row r="82" spans="6:11" s="17" customFormat="1" ht="22.5" customHeight="1" x14ac:dyDescent="0.35">
      <c r="F82" s="32"/>
      <c r="G82" s="32"/>
      <c r="H82" s="32"/>
      <c r="I82" s="32"/>
      <c r="J82" s="32"/>
      <c r="K82" s="32"/>
    </row>
    <row r="83" spans="6:11" s="17" customFormat="1" ht="22.5" customHeight="1" x14ac:dyDescent="0.35">
      <c r="F83" s="32"/>
      <c r="G83" s="32"/>
      <c r="H83" s="32"/>
      <c r="I83" s="32"/>
      <c r="J83" s="32"/>
      <c r="K83" s="32"/>
    </row>
    <row r="84" spans="6:11" s="17" customFormat="1" ht="22.5" customHeight="1" x14ac:dyDescent="0.35">
      <c r="F84" s="32"/>
      <c r="G84" s="32"/>
      <c r="H84" s="32"/>
      <c r="I84" s="32"/>
      <c r="J84" s="32"/>
      <c r="K84" s="32"/>
    </row>
    <row r="85" spans="6:11" s="17" customFormat="1" ht="22.5" customHeight="1" x14ac:dyDescent="0.35">
      <c r="F85" s="32"/>
      <c r="G85" s="32"/>
      <c r="H85" s="32"/>
      <c r="I85" s="32"/>
      <c r="J85" s="32"/>
      <c r="K85" s="32"/>
    </row>
    <row r="86" spans="6:11" s="17" customFormat="1" ht="22.5" customHeight="1" x14ac:dyDescent="0.35">
      <c r="F86" s="32"/>
      <c r="G86" s="32"/>
      <c r="H86" s="32"/>
      <c r="I86" s="32"/>
      <c r="J86" s="32"/>
      <c r="K86" s="32"/>
    </row>
    <row r="87" spans="6:11" s="17" customFormat="1" ht="22.5" customHeight="1" x14ac:dyDescent="0.35">
      <c r="F87" s="32"/>
      <c r="G87" s="32"/>
      <c r="H87" s="32"/>
      <c r="I87" s="32"/>
      <c r="J87" s="32"/>
      <c r="K87" s="32"/>
    </row>
    <row r="88" spans="6:11" s="17" customFormat="1" ht="22.5" customHeight="1" x14ac:dyDescent="0.35">
      <c r="F88" s="32"/>
      <c r="G88" s="32"/>
      <c r="H88" s="32"/>
      <c r="I88" s="32"/>
      <c r="J88" s="32"/>
      <c r="K88" s="32"/>
    </row>
    <row r="89" spans="6:11" s="17" customFormat="1" ht="22.5" customHeight="1" x14ac:dyDescent="0.35">
      <c r="F89" s="32"/>
      <c r="G89" s="32"/>
      <c r="H89" s="32"/>
      <c r="I89" s="32"/>
      <c r="J89" s="32"/>
      <c r="K89" s="32"/>
    </row>
    <row r="90" spans="6:11" s="17" customFormat="1" ht="22.5" customHeight="1" x14ac:dyDescent="0.35">
      <c r="F90" s="32"/>
      <c r="G90" s="32"/>
      <c r="H90" s="32"/>
      <c r="I90" s="32"/>
      <c r="J90" s="32"/>
      <c r="K90" s="32"/>
    </row>
    <row r="91" spans="6:11" s="17" customFormat="1" ht="22.5" customHeight="1" x14ac:dyDescent="0.35">
      <c r="F91" s="32"/>
      <c r="G91" s="32"/>
      <c r="H91" s="32"/>
      <c r="I91" s="32"/>
      <c r="J91" s="32"/>
      <c r="K91" s="32"/>
    </row>
    <row r="92" spans="6:11" s="17" customFormat="1" ht="22.5" customHeight="1" x14ac:dyDescent="0.35">
      <c r="F92" s="32"/>
      <c r="G92" s="32"/>
      <c r="H92" s="32"/>
      <c r="I92" s="32"/>
      <c r="J92" s="32"/>
      <c r="K92" s="32"/>
    </row>
    <row r="93" spans="6:11" s="17" customFormat="1" ht="22.5" customHeight="1" x14ac:dyDescent="0.35">
      <c r="F93" s="32"/>
      <c r="G93" s="32"/>
      <c r="H93" s="32"/>
      <c r="I93" s="32"/>
      <c r="J93" s="32"/>
      <c r="K93" s="32"/>
    </row>
    <row r="94" spans="6:11" s="17" customFormat="1" ht="22.5" customHeight="1" x14ac:dyDescent="0.35">
      <c r="F94" s="32"/>
      <c r="G94" s="32"/>
      <c r="H94" s="32"/>
      <c r="I94" s="32"/>
      <c r="J94" s="32"/>
      <c r="K94" s="32"/>
    </row>
    <row r="95" spans="6:11" s="17" customFormat="1" ht="22.5" customHeight="1" x14ac:dyDescent="0.35">
      <c r="F95" s="32"/>
      <c r="G95" s="32"/>
      <c r="H95" s="32"/>
      <c r="I95" s="32"/>
      <c r="J95" s="32"/>
      <c r="K95" s="32"/>
    </row>
    <row r="96" spans="6:11" s="17" customFormat="1" ht="22.5" customHeight="1" x14ac:dyDescent="0.35">
      <c r="F96" s="32"/>
      <c r="G96" s="32"/>
      <c r="H96" s="32"/>
      <c r="I96" s="32"/>
      <c r="J96" s="32"/>
      <c r="K96" s="32"/>
    </row>
    <row r="97" spans="6:11" s="17" customFormat="1" ht="22.5" customHeight="1" x14ac:dyDescent="0.35">
      <c r="F97" s="32"/>
      <c r="G97" s="32"/>
      <c r="H97" s="32"/>
      <c r="I97" s="32"/>
      <c r="J97" s="32"/>
      <c r="K97" s="32"/>
    </row>
    <row r="98" spans="6:11" ht="23.1" customHeight="1" x14ac:dyDescent="0.35"/>
    <row r="99" spans="6:11" s="17" customFormat="1" ht="22.5" customHeight="1" x14ac:dyDescent="0.35">
      <c r="F99" s="32"/>
      <c r="G99" s="32"/>
      <c r="H99" s="32"/>
      <c r="I99" s="32"/>
      <c r="J99" s="32"/>
      <c r="K99" s="32"/>
    </row>
    <row r="100" spans="6:11" ht="22.5" customHeight="1" x14ac:dyDescent="0.35"/>
    <row r="101" spans="6:11" ht="22.5" customHeight="1" x14ac:dyDescent="0.35"/>
    <row r="102" spans="6:11" ht="22.5" customHeight="1" x14ac:dyDescent="0.35"/>
    <row r="103" spans="6:11" s="17" customFormat="1" ht="22.5" customHeight="1" x14ac:dyDescent="0.35">
      <c r="F103" s="32"/>
      <c r="G103" s="32"/>
      <c r="H103" s="32"/>
      <c r="I103" s="32"/>
      <c r="J103" s="32"/>
      <c r="K103" s="32"/>
    </row>
    <row r="104" spans="6:11" s="17" customFormat="1" ht="22.5" customHeight="1" x14ac:dyDescent="0.35">
      <c r="F104" s="32"/>
      <c r="G104" s="32"/>
      <c r="H104" s="32"/>
      <c r="I104" s="32"/>
      <c r="J104" s="32"/>
      <c r="K104" s="32"/>
    </row>
    <row r="105" spans="6:11" s="17" customFormat="1" ht="22.5" customHeight="1" x14ac:dyDescent="0.35">
      <c r="F105" s="32"/>
      <c r="G105" s="32"/>
      <c r="H105" s="32"/>
      <c r="I105" s="32"/>
      <c r="J105" s="32"/>
      <c r="K105" s="32"/>
    </row>
    <row r="106" spans="6:11" s="17" customFormat="1" ht="22.5" customHeight="1" x14ac:dyDescent="0.35">
      <c r="F106" s="32"/>
      <c r="G106" s="32"/>
      <c r="H106" s="32"/>
      <c r="I106" s="32"/>
      <c r="J106" s="32"/>
      <c r="K106" s="32"/>
    </row>
    <row r="107" spans="6:11" s="17" customFormat="1" ht="22.5" customHeight="1" x14ac:dyDescent="0.35">
      <c r="F107" s="32"/>
      <c r="G107" s="32"/>
      <c r="H107" s="32"/>
      <c r="I107" s="32"/>
      <c r="J107" s="32"/>
      <c r="K107" s="32"/>
    </row>
    <row r="108" spans="6:11" s="17" customFormat="1" ht="22.5" customHeight="1" x14ac:dyDescent="0.35">
      <c r="F108" s="32"/>
      <c r="G108" s="32"/>
      <c r="H108" s="32"/>
      <c r="I108" s="32"/>
      <c r="J108" s="32"/>
      <c r="K108" s="32"/>
    </row>
    <row r="109" spans="6:11" s="17" customFormat="1" ht="22.5" customHeight="1" x14ac:dyDescent="0.35">
      <c r="F109" s="32"/>
      <c r="G109" s="32"/>
      <c r="H109" s="32"/>
      <c r="I109" s="32"/>
      <c r="J109" s="32"/>
      <c r="K109" s="32"/>
    </row>
    <row r="110" spans="6:11" s="17" customFormat="1" ht="22.5" customHeight="1" x14ac:dyDescent="0.35">
      <c r="F110" s="32"/>
      <c r="G110" s="32"/>
      <c r="H110" s="32"/>
      <c r="I110" s="32"/>
      <c r="J110" s="32"/>
      <c r="K110" s="32"/>
    </row>
    <row r="111" spans="6:11" s="17" customFormat="1" ht="22.5" customHeight="1" x14ac:dyDescent="0.35">
      <c r="F111" s="32"/>
      <c r="G111" s="32"/>
      <c r="H111" s="32"/>
      <c r="I111" s="32"/>
      <c r="J111" s="32"/>
      <c r="K111" s="32"/>
    </row>
    <row r="112" spans="6:11" s="17" customFormat="1" ht="22.5" customHeight="1" x14ac:dyDescent="0.35">
      <c r="F112" s="32"/>
      <c r="G112" s="32"/>
      <c r="H112" s="32"/>
      <c r="I112" s="32"/>
      <c r="J112" s="32"/>
      <c r="K112" s="32"/>
    </row>
    <row r="113" spans="6:11" s="17" customFormat="1" ht="22.5" customHeight="1" x14ac:dyDescent="0.35">
      <c r="F113" s="32"/>
      <c r="G113" s="32"/>
      <c r="H113" s="32"/>
      <c r="I113" s="32"/>
      <c r="J113" s="32"/>
      <c r="K113" s="32"/>
    </row>
    <row r="114" spans="6:11" s="17" customFormat="1" ht="22.5" customHeight="1" x14ac:dyDescent="0.35">
      <c r="F114" s="32"/>
      <c r="G114" s="32"/>
      <c r="H114" s="32"/>
      <c r="I114" s="32"/>
      <c r="J114" s="32"/>
      <c r="K114" s="32"/>
    </row>
    <row r="115" spans="6:11" s="17" customFormat="1" ht="22.5" customHeight="1" x14ac:dyDescent="0.35">
      <c r="F115" s="32"/>
      <c r="G115" s="32"/>
      <c r="H115" s="32"/>
      <c r="I115" s="32"/>
      <c r="J115" s="32"/>
      <c r="K115" s="32"/>
    </row>
    <row r="116" spans="6:11" s="17" customFormat="1" ht="22.5" customHeight="1" x14ac:dyDescent="0.35">
      <c r="F116" s="32"/>
      <c r="G116" s="32"/>
      <c r="H116" s="32"/>
      <c r="I116" s="32"/>
      <c r="J116" s="32"/>
      <c r="K116" s="32"/>
    </row>
    <row r="117" spans="6:11" s="17" customFormat="1" ht="22.5" customHeight="1" x14ac:dyDescent="0.35">
      <c r="F117" s="32"/>
      <c r="G117" s="32"/>
      <c r="H117" s="32"/>
      <c r="I117" s="32"/>
      <c r="J117" s="32"/>
      <c r="K117" s="32"/>
    </row>
    <row r="118" spans="6:11" s="17" customFormat="1" ht="22.5" customHeight="1" x14ac:dyDescent="0.35">
      <c r="F118" s="32"/>
      <c r="G118" s="32"/>
      <c r="H118" s="32"/>
      <c r="I118" s="32"/>
      <c r="J118" s="32"/>
      <c r="K118" s="32"/>
    </row>
    <row r="119" spans="6:11" s="17" customFormat="1" ht="22.5" customHeight="1" x14ac:dyDescent="0.35">
      <c r="F119" s="32"/>
      <c r="G119" s="32"/>
      <c r="H119" s="32"/>
      <c r="I119" s="32"/>
      <c r="J119" s="32"/>
      <c r="K119" s="32"/>
    </row>
    <row r="120" spans="6:11" ht="23.1" customHeight="1" x14ac:dyDescent="0.35"/>
    <row r="121" spans="6:11" ht="23.1" customHeight="1" x14ac:dyDescent="0.35"/>
    <row r="122" spans="6:11" ht="23.1" customHeight="1" x14ac:dyDescent="0.35"/>
    <row r="123" spans="6:11" s="17" customFormat="1" ht="22.5" customHeight="1" x14ac:dyDescent="0.35">
      <c r="F123" s="32"/>
      <c r="G123" s="32"/>
      <c r="H123" s="32"/>
      <c r="I123" s="32"/>
      <c r="J123" s="32"/>
      <c r="K123" s="32"/>
    </row>
    <row r="124" spans="6:11" s="17" customFormat="1" ht="22.5" customHeight="1" x14ac:dyDescent="0.35">
      <c r="F124" s="32"/>
      <c r="G124" s="32"/>
      <c r="H124" s="32"/>
      <c r="I124" s="32"/>
      <c r="J124" s="32"/>
      <c r="K124" s="32"/>
    </row>
    <row r="125" spans="6:11" s="17" customFormat="1" ht="22.5" customHeight="1" x14ac:dyDescent="0.35">
      <c r="F125" s="32"/>
      <c r="G125" s="32"/>
      <c r="H125" s="32"/>
      <c r="I125" s="32"/>
      <c r="J125" s="32"/>
      <c r="K125" s="32"/>
    </row>
    <row r="126" spans="6:11" s="17" customFormat="1" ht="22.5" customHeight="1" x14ac:dyDescent="0.35">
      <c r="F126" s="32"/>
      <c r="G126" s="32"/>
      <c r="H126" s="32"/>
      <c r="I126" s="32"/>
      <c r="J126" s="32"/>
      <c r="K126" s="32"/>
    </row>
    <row r="127" spans="6:11" s="17" customFormat="1" ht="22.5" customHeight="1" x14ac:dyDescent="0.35">
      <c r="F127" s="32"/>
      <c r="G127" s="32"/>
      <c r="H127" s="32"/>
      <c r="I127" s="32"/>
      <c r="J127" s="32"/>
      <c r="K127" s="32"/>
    </row>
    <row r="128" spans="6:11" s="17" customFormat="1" ht="22.5" customHeight="1" x14ac:dyDescent="0.35">
      <c r="F128" s="32"/>
      <c r="G128" s="32"/>
      <c r="H128" s="32"/>
      <c r="I128" s="32"/>
      <c r="J128" s="32"/>
      <c r="K128" s="32"/>
    </row>
    <row r="129" spans="6:11" s="17" customFormat="1" ht="22.5" customHeight="1" x14ac:dyDescent="0.35">
      <c r="F129" s="32"/>
      <c r="G129" s="32"/>
      <c r="H129" s="32"/>
      <c r="I129" s="32"/>
      <c r="J129" s="32"/>
      <c r="K129" s="32"/>
    </row>
    <row r="130" spans="6:11" s="17" customFormat="1" ht="22.5" customHeight="1" x14ac:dyDescent="0.35">
      <c r="F130" s="32"/>
      <c r="G130" s="32"/>
      <c r="H130" s="32"/>
      <c r="I130" s="32"/>
      <c r="J130" s="32"/>
      <c r="K130" s="32"/>
    </row>
    <row r="131" spans="6:11" s="17" customFormat="1" ht="22.5" customHeight="1" x14ac:dyDescent="0.35">
      <c r="F131" s="32"/>
      <c r="G131" s="32"/>
      <c r="H131" s="32"/>
      <c r="I131" s="32"/>
      <c r="J131" s="32"/>
      <c r="K131" s="32"/>
    </row>
    <row r="132" spans="6:11" s="17" customFormat="1" ht="22.5" customHeight="1" x14ac:dyDescent="0.35">
      <c r="F132" s="32"/>
      <c r="G132" s="32"/>
      <c r="H132" s="32"/>
      <c r="I132" s="32"/>
      <c r="J132" s="32"/>
      <c r="K132" s="32"/>
    </row>
    <row r="133" spans="6:11" s="17" customFormat="1" ht="23.1" customHeight="1" x14ac:dyDescent="0.35">
      <c r="F133" s="32"/>
      <c r="G133" s="32"/>
      <c r="H133" s="32"/>
      <c r="I133" s="32"/>
      <c r="J133" s="32"/>
      <c r="K133" s="32"/>
    </row>
    <row r="134" spans="6:11" s="17" customFormat="1" ht="22.5" customHeight="1" x14ac:dyDescent="0.35">
      <c r="F134" s="32"/>
      <c r="G134" s="32"/>
      <c r="H134" s="32"/>
      <c r="I134" s="32"/>
      <c r="J134" s="32"/>
      <c r="K134" s="32"/>
    </row>
    <row r="135" spans="6:11" s="17" customFormat="1" ht="22.5" customHeight="1" x14ac:dyDescent="0.35">
      <c r="F135" s="32"/>
      <c r="G135" s="32"/>
      <c r="H135" s="32"/>
      <c r="I135" s="32"/>
      <c r="J135" s="32"/>
      <c r="K135" s="32"/>
    </row>
    <row r="136" spans="6:11" s="17" customFormat="1" ht="22.5" customHeight="1" x14ac:dyDescent="0.35">
      <c r="F136" s="32"/>
      <c r="G136" s="32"/>
      <c r="H136" s="32"/>
      <c r="I136" s="32"/>
      <c r="J136" s="32"/>
      <c r="K136" s="32"/>
    </row>
    <row r="137" spans="6:11" s="17" customFormat="1" ht="22.5" customHeight="1" x14ac:dyDescent="0.35">
      <c r="F137" s="32"/>
      <c r="G137" s="32"/>
      <c r="H137" s="32"/>
      <c r="I137" s="32"/>
      <c r="J137" s="32"/>
      <c r="K137" s="32"/>
    </row>
    <row r="138" spans="6:11" s="17" customFormat="1" ht="22.5" customHeight="1" x14ac:dyDescent="0.35">
      <c r="F138" s="32"/>
      <c r="G138" s="32"/>
      <c r="H138" s="32"/>
      <c r="I138" s="32"/>
      <c r="J138" s="32"/>
      <c r="K138" s="32"/>
    </row>
    <row r="139" spans="6:11" s="17" customFormat="1" ht="22.5" customHeight="1" x14ac:dyDescent="0.35">
      <c r="F139" s="32"/>
      <c r="G139" s="32"/>
      <c r="H139" s="32"/>
      <c r="I139" s="32"/>
      <c r="J139" s="32"/>
      <c r="K139" s="32"/>
    </row>
    <row r="140" spans="6:11" s="17" customFormat="1" ht="22.5" customHeight="1" x14ac:dyDescent="0.35">
      <c r="F140" s="32"/>
      <c r="G140" s="32"/>
      <c r="H140" s="32"/>
      <c r="I140" s="32"/>
      <c r="J140" s="32"/>
      <c r="K140" s="32"/>
    </row>
    <row r="141" spans="6:11" s="17" customFormat="1" ht="22.5" customHeight="1" x14ac:dyDescent="0.35">
      <c r="F141" s="32"/>
      <c r="G141" s="32"/>
      <c r="H141" s="32"/>
      <c r="I141" s="32"/>
      <c r="J141" s="32"/>
      <c r="K141" s="32"/>
    </row>
    <row r="142" spans="6:11" ht="23.1" customHeight="1" x14ac:dyDescent="0.35"/>
    <row r="143" spans="6:11" s="17" customFormat="1" ht="22.5" customHeight="1" x14ac:dyDescent="0.35">
      <c r="F143" s="32"/>
      <c r="G143" s="32"/>
      <c r="H143" s="32"/>
      <c r="I143" s="32"/>
      <c r="J143" s="32"/>
      <c r="K143" s="32"/>
    </row>
    <row r="144" spans="6:11" ht="23.1" customHeight="1" x14ac:dyDescent="0.35"/>
    <row r="145" spans="6:11" s="17" customFormat="1" ht="22.5" customHeight="1" x14ac:dyDescent="0.35">
      <c r="F145" s="32"/>
      <c r="G145" s="32"/>
      <c r="H145" s="32"/>
      <c r="I145" s="32"/>
      <c r="J145" s="32"/>
      <c r="K145" s="32"/>
    </row>
    <row r="146" spans="6:11" s="17" customFormat="1" ht="22.5" customHeight="1" x14ac:dyDescent="0.35">
      <c r="F146" s="32"/>
      <c r="G146" s="32"/>
      <c r="H146" s="32"/>
      <c r="I146" s="32"/>
      <c r="J146" s="32"/>
      <c r="K146" s="32"/>
    </row>
    <row r="147" spans="6:11" s="17" customFormat="1" ht="22.5" customHeight="1" x14ac:dyDescent="0.35">
      <c r="F147" s="32"/>
      <c r="G147" s="32"/>
      <c r="H147" s="32"/>
      <c r="I147" s="32"/>
      <c r="J147" s="32"/>
      <c r="K147" s="32"/>
    </row>
    <row r="148" spans="6:11" s="17" customFormat="1" ht="22.5" customHeight="1" x14ac:dyDescent="0.35">
      <c r="F148" s="32"/>
      <c r="G148" s="32"/>
      <c r="H148" s="32"/>
      <c r="I148" s="32"/>
      <c r="J148" s="32"/>
      <c r="K148" s="32"/>
    </row>
    <row r="149" spans="6:11" s="17" customFormat="1" ht="22.5" customHeight="1" x14ac:dyDescent="0.35">
      <c r="F149" s="32"/>
      <c r="G149" s="32"/>
      <c r="H149" s="32"/>
      <c r="I149" s="32"/>
      <c r="J149" s="32"/>
      <c r="K149" s="32"/>
    </row>
    <row r="150" spans="6:11" s="17" customFormat="1" ht="22.5" customHeight="1" x14ac:dyDescent="0.35">
      <c r="F150" s="32"/>
      <c r="G150" s="32"/>
      <c r="H150" s="32"/>
      <c r="I150" s="32"/>
      <c r="J150" s="32"/>
      <c r="K150" s="32"/>
    </row>
    <row r="151" spans="6:11" s="17" customFormat="1" ht="22.5" customHeight="1" x14ac:dyDescent="0.35">
      <c r="F151" s="32"/>
      <c r="G151" s="32"/>
      <c r="H151" s="32"/>
      <c r="I151" s="32"/>
      <c r="J151" s="32"/>
      <c r="K151" s="32"/>
    </row>
    <row r="152" spans="6:11" s="17" customFormat="1" ht="22.5" customHeight="1" x14ac:dyDescent="0.35">
      <c r="F152" s="32"/>
      <c r="G152" s="32"/>
      <c r="H152" s="32"/>
      <c r="I152" s="32"/>
      <c r="J152" s="32"/>
      <c r="K152" s="32"/>
    </row>
    <row r="153" spans="6:11" s="17" customFormat="1" ht="22.5" customHeight="1" x14ac:dyDescent="0.35">
      <c r="F153" s="32"/>
      <c r="G153" s="32"/>
      <c r="H153" s="32"/>
      <c r="I153" s="32"/>
      <c r="J153" s="32"/>
      <c r="K153" s="32"/>
    </row>
    <row r="154" spans="6:11" s="17" customFormat="1" ht="22.5" customHeight="1" x14ac:dyDescent="0.35">
      <c r="F154" s="32"/>
      <c r="G154" s="32"/>
      <c r="H154" s="32"/>
      <c r="I154" s="32"/>
      <c r="J154" s="32"/>
      <c r="K154" s="32"/>
    </row>
    <row r="155" spans="6:11" s="17" customFormat="1" ht="22.5" customHeight="1" x14ac:dyDescent="0.35">
      <c r="F155" s="32"/>
      <c r="G155" s="32"/>
      <c r="H155" s="32"/>
      <c r="I155" s="32"/>
      <c r="J155" s="32"/>
      <c r="K155" s="32"/>
    </row>
    <row r="156" spans="6:11" s="17" customFormat="1" ht="22.5" customHeight="1" x14ac:dyDescent="0.35">
      <c r="F156" s="32"/>
      <c r="G156" s="32"/>
      <c r="H156" s="32"/>
      <c r="I156" s="32"/>
      <c r="J156" s="32"/>
      <c r="K156" s="32"/>
    </row>
    <row r="157" spans="6:11" s="17" customFormat="1" ht="22.5" customHeight="1" x14ac:dyDescent="0.35">
      <c r="F157" s="32"/>
      <c r="G157" s="32"/>
      <c r="H157" s="32"/>
      <c r="I157" s="32"/>
      <c r="J157" s="32"/>
      <c r="K157" s="32"/>
    </row>
    <row r="158" spans="6:11" s="17" customFormat="1" ht="22.5" customHeight="1" x14ac:dyDescent="0.35">
      <c r="F158" s="32"/>
      <c r="G158" s="32"/>
      <c r="H158" s="32"/>
      <c r="I158" s="32"/>
      <c r="J158" s="32"/>
      <c r="K158" s="32"/>
    </row>
    <row r="159" spans="6:11" s="17" customFormat="1" ht="22.5" customHeight="1" x14ac:dyDescent="0.35">
      <c r="F159" s="32"/>
      <c r="G159" s="32"/>
      <c r="H159" s="32"/>
      <c r="I159" s="32"/>
      <c r="J159" s="32"/>
      <c r="K159" s="32"/>
    </row>
    <row r="160" spans="6:11" ht="23.1" customHeight="1" x14ac:dyDescent="0.35"/>
    <row r="161" spans="6:11" s="17" customFormat="1" ht="22.5" customHeight="1" x14ac:dyDescent="0.35">
      <c r="F161" s="32"/>
      <c r="G161" s="32"/>
      <c r="H161" s="32"/>
      <c r="I161" s="32"/>
      <c r="J161" s="32"/>
      <c r="K161" s="32"/>
    </row>
    <row r="162" spans="6:11" s="17" customFormat="1" ht="22.5" customHeight="1" x14ac:dyDescent="0.35">
      <c r="F162" s="32"/>
      <c r="G162" s="32"/>
      <c r="H162" s="32"/>
      <c r="I162" s="32"/>
      <c r="J162" s="32"/>
      <c r="K162" s="32"/>
    </row>
    <row r="163" spans="6:11" s="17" customFormat="1" ht="22.5" customHeight="1" x14ac:dyDescent="0.35">
      <c r="F163" s="32"/>
      <c r="G163" s="32"/>
      <c r="H163" s="32"/>
      <c r="I163" s="32"/>
      <c r="J163" s="32"/>
      <c r="K163" s="32"/>
    </row>
    <row r="164" spans="6:11" s="17" customFormat="1" ht="22.5" customHeight="1" x14ac:dyDescent="0.35">
      <c r="F164" s="32"/>
      <c r="G164" s="32"/>
      <c r="H164" s="32"/>
      <c r="I164" s="32"/>
      <c r="J164" s="32"/>
      <c r="K164" s="32"/>
    </row>
    <row r="165" spans="6:11" s="17" customFormat="1" ht="22.5" customHeight="1" x14ac:dyDescent="0.35">
      <c r="F165" s="32"/>
      <c r="G165" s="32"/>
      <c r="H165" s="32"/>
      <c r="I165" s="32"/>
      <c r="J165" s="32"/>
      <c r="K165" s="32"/>
    </row>
    <row r="166" spans="6:11" s="17" customFormat="1" ht="22.5" customHeight="1" x14ac:dyDescent="0.35">
      <c r="F166" s="32"/>
      <c r="G166" s="32"/>
      <c r="H166" s="32"/>
      <c r="I166" s="32"/>
      <c r="J166" s="32"/>
      <c r="K166" s="32"/>
    </row>
    <row r="167" spans="6:11" s="17" customFormat="1" ht="22.5" customHeight="1" x14ac:dyDescent="0.35">
      <c r="F167" s="32"/>
      <c r="G167" s="32"/>
      <c r="H167" s="32"/>
      <c r="I167" s="32"/>
      <c r="J167" s="32"/>
      <c r="K167" s="32"/>
    </row>
    <row r="168" spans="6:11" s="17" customFormat="1" ht="22.5" customHeight="1" x14ac:dyDescent="0.35">
      <c r="F168" s="32"/>
      <c r="G168" s="32"/>
      <c r="H168" s="32"/>
      <c r="I168" s="32"/>
      <c r="J168" s="32"/>
      <c r="K168" s="32"/>
    </row>
    <row r="169" spans="6:11" s="17" customFormat="1" ht="22.5" customHeight="1" x14ac:dyDescent="0.35">
      <c r="F169" s="32"/>
      <c r="G169" s="32"/>
      <c r="H169" s="32"/>
      <c r="I169" s="32"/>
      <c r="J169" s="32"/>
      <c r="K169" s="32"/>
    </row>
    <row r="170" spans="6:11" s="17" customFormat="1" ht="22.5" customHeight="1" x14ac:dyDescent="0.35">
      <c r="F170" s="32"/>
      <c r="G170" s="32"/>
      <c r="H170" s="32"/>
      <c r="I170" s="32"/>
      <c r="J170" s="32"/>
      <c r="K170" s="32"/>
    </row>
    <row r="171" spans="6:11" s="17" customFormat="1" ht="22.5" customHeight="1" x14ac:dyDescent="0.35">
      <c r="F171" s="32"/>
      <c r="G171" s="32"/>
      <c r="H171" s="32"/>
      <c r="I171" s="32"/>
      <c r="J171" s="32"/>
      <c r="K171" s="32"/>
    </row>
    <row r="172" spans="6:11" s="17" customFormat="1" ht="22.5" customHeight="1" x14ac:dyDescent="0.35">
      <c r="F172" s="32"/>
      <c r="G172" s="32"/>
      <c r="H172" s="32"/>
      <c r="I172" s="32"/>
      <c r="J172" s="32"/>
      <c r="K172" s="32"/>
    </row>
    <row r="173" spans="6:11" s="17" customFormat="1" ht="22.5" customHeight="1" x14ac:dyDescent="0.35">
      <c r="F173" s="32"/>
      <c r="G173" s="32"/>
      <c r="H173" s="32"/>
      <c r="I173" s="32"/>
      <c r="J173" s="32"/>
      <c r="K173" s="32"/>
    </row>
    <row r="174" spans="6:11" s="17" customFormat="1" ht="22.5" customHeight="1" x14ac:dyDescent="0.35">
      <c r="F174" s="32"/>
      <c r="G174" s="32"/>
      <c r="H174" s="32"/>
      <c r="I174" s="32"/>
      <c r="J174" s="32"/>
      <c r="K174" s="32"/>
    </row>
    <row r="175" spans="6:11" s="17" customFormat="1" ht="22.5" customHeight="1" x14ac:dyDescent="0.35">
      <c r="F175" s="32"/>
      <c r="G175" s="32"/>
      <c r="H175" s="32"/>
      <c r="I175" s="32"/>
      <c r="J175" s="32"/>
      <c r="K175" s="32"/>
    </row>
    <row r="176" spans="6:11" s="17" customFormat="1" ht="22.5" customHeight="1" x14ac:dyDescent="0.35">
      <c r="F176" s="32"/>
      <c r="G176" s="32"/>
      <c r="H176" s="32"/>
      <c r="I176" s="32"/>
      <c r="J176" s="32"/>
      <c r="K176" s="32"/>
    </row>
    <row r="177" spans="6:11" s="17" customFormat="1" ht="22.5" customHeight="1" x14ac:dyDescent="0.35">
      <c r="F177" s="32"/>
      <c r="G177" s="32"/>
      <c r="H177" s="32"/>
      <c r="I177" s="32"/>
      <c r="J177" s="32"/>
      <c r="K177" s="32"/>
    </row>
    <row r="178" spans="6:11" s="17" customFormat="1" ht="22.5" customHeight="1" x14ac:dyDescent="0.35">
      <c r="F178" s="32"/>
      <c r="G178" s="32"/>
      <c r="H178" s="32"/>
      <c r="I178" s="32"/>
      <c r="J178" s="32"/>
      <c r="K178" s="32"/>
    </row>
    <row r="179" spans="6:11" s="17" customFormat="1" ht="22.5" customHeight="1" x14ac:dyDescent="0.35">
      <c r="F179" s="32"/>
      <c r="G179" s="32"/>
      <c r="H179" s="32"/>
      <c r="I179" s="32"/>
      <c r="J179" s="32"/>
      <c r="K179" s="32"/>
    </row>
    <row r="180" spans="6:11" s="17" customFormat="1" ht="22.5" customHeight="1" x14ac:dyDescent="0.35">
      <c r="F180" s="32"/>
      <c r="G180" s="32"/>
      <c r="H180" s="32"/>
      <c r="I180" s="32"/>
      <c r="J180" s="32"/>
      <c r="K180" s="32"/>
    </row>
    <row r="181" spans="6:11" s="17" customFormat="1" ht="22.5" customHeight="1" x14ac:dyDescent="0.35">
      <c r="F181" s="32"/>
      <c r="G181" s="32"/>
      <c r="H181" s="32"/>
      <c r="I181" s="32"/>
      <c r="J181" s="32"/>
      <c r="K181" s="32"/>
    </row>
    <row r="182" spans="6:11" s="17" customFormat="1" ht="22.5" customHeight="1" x14ac:dyDescent="0.35">
      <c r="F182" s="32"/>
      <c r="G182" s="32"/>
      <c r="H182" s="32"/>
      <c r="I182" s="32"/>
      <c r="J182" s="32"/>
      <c r="K182" s="32"/>
    </row>
    <row r="183" spans="6:11" s="17" customFormat="1" ht="22.5" customHeight="1" x14ac:dyDescent="0.35">
      <c r="F183" s="32"/>
      <c r="G183" s="32"/>
      <c r="H183" s="32"/>
      <c r="I183" s="32"/>
      <c r="J183" s="32"/>
      <c r="K183" s="32"/>
    </row>
    <row r="184" spans="6:11" s="17" customFormat="1" ht="22.5" customHeight="1" x14ac:dyDescent="0.35">
      <c r="F184" s="32"/>
      <c r="G184" s="32"/>
      <c r="H184" s="32"/>
      <c r="I184" s="32"/>
      <c r="J184" s="32"/>
      <c r="K184" s="32"/>
    </row>
    <row r="185" spans="6:11" s="17" customFormat="1" ht="22.5" customHeight="1" x14ac:dyDescent="0.35">
      <c r="F185" s="32"/>
      <c r="G185" s="32"/>
      <c r="H185" s="32"/>
      <c r="I185" s="32"/>
      <c r="J185" s="32"/>
      <c r="K185" s="32"/>
    </row>
    <row r="186" spans="6:11" s="17" customFormat="1" ht="22.5" customHeight="1" x14ac:dyDescent="0.35">
      <c r="F186" s="32"/>
      <c r="G186" s="32"/>
      <c r="H186" s="32"/>
      <c r="I186" s="32"/>
      <c r="J186" s="32"/>
      <c r="K186" s="32"/>
    </row>
    <row r="187" spans="6:11" s="17" customFormat="1" ht="22.5" customHeight="1" x14ac:dyDescent="0.35">
      <c r="F187" s="32"/>
      <c r="G187" s="32"/>
      <c r="H187" s="32"/>
      <c r="I187" s="32"/>
      <c r="J187" s="32"/>
      <c r="K187" s="32"/>
    </row>
    <row r="188" spans="6:11" s="17" customFormat="1" ht="22.5" customHeight="1" x14ac:dyDescent="0.35">
      <c r="F188" s="32"/>
      <c r="G188" s="32"/>
      <c r="H188" s="32"/>
      <c r="I188" s="32"/>
      <c r="J188" s="32"/>
      <c r="K188" s="32"/>
    </row>
    <row r="189" spans="6:11" ht="23.1" customHeight="1" x14ac:dyDescent="0.35"/>
    <row r="190" spans="6:11" ht="22.5" customHeight="1" x14ac:dyDescent="0.35"/>
    <row r="191" spans="6:11" ht="23.1" customHeight="1" x14ac:dyDescent="0.35"/>
    <row r="192" spans="6:11" ht="23.1" customHeight="1" x14ac:dyDescent="0.35"/>
    <row r="193" spans="6:11" ht="22.5" customHeight="1" x14ac:dyDescent="0.35"/>
    <row r="194" spans="6:11" ht="23.1" customHeight="1" x14ac:dyDescent="0.35"/>
    <row r="195" spans="6:11" ht="23.1" customHeight="1" x14ac:dyDescent="0.35"/>
    <row r="196" spans="6:11" ht="22.5" customHeight="1" x14ac:dyDescent="0.35"/>
    <row r="197" spans="6:11" ht="23.1" customHeight="1" x14ac:dyDescent="0.35"/>
    <row r="198" spans="6:11" ht="23.1" customHeight="1" x14ac:dyDescent="0.35"/>
    <row r="199" spans="6:11" ht="23.1" customHeight="1" x14ac:dyDescent="0.35"/>
    <row r="200" spans="6:11" s="17" customFormat="1" ht="22.5" customHeight="1" x14ac:dyDescent="0.35">
      <c r="F200" s="32"/>
      <c r="G200" s="32"/>
      <c r="H200" s="32"/>
      <c r="I200" s="32"/>
      <c r="J200" s="32"/>
      <c r="K200" s="32"/>
    </row>
    <row r="201" spans="6:11" s="17" customFormat="1" ht="22.5" customHeight="1" x14ac:dyDescent="0.35">
      <c r="F201" s="32"/>
      <c r="G201" s="32"/>
      <c r="H201" s="32"/>
      <c r="I201" s="32"/>
      <c r="J201" s="32"/>
      <c r="K201" s="32"/>
    </row>
    <row r="202" spans="6:11" s="17" customFormat="1" ht="22.5" customHeight="1" x14ac:dyDescent="0.35">
      <c r="F202" s="32"/>
      <c r="G202" s="32"/>
      <c r="H202" s="32"/>
      <c r="I202" s="32"/>
      <c r="J202" s="32"/>
      <c r="K202" s="32"/>
    </row>
    <row r="203" spans="6:11" ht="23.1" customHeight="1" x14ac:dyDescent="0.35"/>
    <row r="204" spans="6:11" s="17" customFormat="1" ht="22.5" customHeight="1" x14ac:dyDescent="0.35">
      <c r="F204" s="32"/>
      <c r="G204" s="32"/>
      <c r="H204" s="32"/>
      <c r="I204" s="32"/>
      <c r="J204" s="32"/>
      <c r="K204" s="32"/>
    </row>
    <row r="205" spans="6:11" s="17" customFormat="1" ht="22.5" customHeight="1" x14ac:dyDescent="0.35">
      <c r="F205" s="32"/>
      <c r="G205" s="32"/>
      <c r="H205" s="32"/>
      <c r="I205" s="32"/>
      <c r="J205" s="32"/>
      <c r="K205" s="32"/>
    </row>
    <row r="206" spans="6:11" s="17" customFormat="1" ht="22.5" customHeight="1" x14ac:dyDescent="0.35">
      <c r="F206" s="32"/>
      <c r="G206" s="32"/>
      <c r="H206" s="32"/>
      <c r="I206" s="32"/>
      <c r="J206" s="32"/>
      <c r="K206" s="32"/>
    </row>
    <row r="207" spans="6:11" s="17" customFormat="1" ht="22.5" customHeight="1" x14ac:dyDescent="0.35">
      <c r="F207" s="32"/>
      <c r="G207" s="32"/>
      <c r="H207" s="32"/>
      <c r="I207" s="32"/>
      <c r="J207" s="32"/>
      <c r="K207" s="32"/>
    </row>
    <row r="208" spans="6:11" s="17" customFormat="1" ht="22.5" customHeight="1" x14ac:dyDescent="0.35">
      <c r="F208" s="32"/>
      <c r="G208" s="32"/>
      <c r="H208" s="32"/>
      <c r="I208" s="32"/>
      <c r="J208" s="32"/>
      <c r="K208" s="32"/>
    </row>
    <row r="209" spans="6:11" s="17" customFormat="1" ht="22.5" customHeight="1" x14ac:dyDescent="0.35">
      <c r="F209" s="32"/>
      <c r="G209" s="32"/>
      <c r="H209" s="32"/>
      <c r="I209" s="32"/>
      <c r="J209" s="32"/>
      <c r="K209" s="32"/>
    </row>
    <row r="210" spans="6:11" s="17" customFormat="1" ht="22.5" customHeight="1" x14ac:dyDescent="0.35">
      <c r="F210" s="32"/>
      <c r="G210" s="32"/>
      <c r="H210" s="32"/>
      <c r="I210" s="32"/>
      <c r="J210" s="32"/>
      <c r="K210" s="32"/>
    </row>
    <row r="211" spans="6:11" s="17" customFormat="1" ht="22.5" customHeight="1" x14ac:dyDescent="0.35">
      <c r="F211" s="32"/>
      <c r="G211" s="32"/>
      <c r="H211" s="32"/>
      <c r="I211" s="32"/>
      <c r="J211" s="32"/>
      <c r="K211" s="32"/>
    </row>
    <row r="212" spans="6:11" s="17" customFormat="1" ht="22.5" customHeight="1" x14ac:dyDescent="0.35">
      <c r="F212" s="32"/>
      <c r="G212" s="32"/>
      <c r="H212" s="32"/>
      <c r="I212" s="32"/>
      <c r="J212" s="32"/>
      <c r="K212" s="32"/>
    </row>
    <row r="213" spans="6:11" s="17" customFormat="1" ht="22.5" customHeight="1" x14ac:dyDescent="0.35">
      <c r="F213" s="32"/>
      <c r="G213" s="32"/>
      <c r="H213" s="32"/>
      <c r="I213" s="32"/>
      <c r="J213" s="32"/>
      <c r="K213" s="32"/>
    </row>
    <row r="214" spans="6:11" s="17" customFormat="1" ht="22.5" customHeight="1" x14ac:dyDescent="0.35">
      <c r="F214" s="32"/>
      <c r="G214" s="32"/>
      <c r="H214" s="32"/>
      <c r="I214" s="32"/>
      <c r="J214" s="32"/>
      <c r="K214" s="32"/>
    </row>
    <row r="215" spans="6:11" s="17" customFormat="1" ht="22.5" customHeight="1" x14ac:dyDescent="0.35">
      <c r="F215" s="32"/>
      <c r="G215" s="32"/>
      <c r="H215" s="32"/>
      <c r="I215" s="32"/>
      <c r="J215" s="32"/>
      <c r="K215" s="32"/>
    </row>
    <row r="216" spans="6:11" s="17" customFormat="1" ht="22.5" customHeight="1" x14ac:dyDescent="0.35">
      <c r="F216" s="32"/>
      <c r="G216" s="32"/>
      <c r="H216" s="32"/>
      <c r="I216" s="32"/>
      <c r="J216" s="32"/>
      <c r="K216" s="32"/>
    </row>
    <row r="217" spans="6:11" s="17" customFormat="1" ht="22.5" customHeight="1" x14ac:dyDescent="0.35">
      <c r="F217" s="32"/>
      <c r="G217" s="32"/>
      <c r="H217" s="32"/>
      <c r="I217" s="32"/>
      <c r="J217" s="32"/>
      <c r="K217" s="32"/>
    </row>
    <row r="218" spans="6:11" s="17" customFormat="1" ht="22.5" customHeight="1" x14ac:dyDescent="0.35">
      <c r="F218" s="32"/>
      <c r="G218" s="32"/>
      <c r="H218" s="32"/>
      <c r="I218" s="32"/>
      <c r="J218" s="32"/>
      <c r="K218" s="32"/>
    </row>
    <row r="219" spans="6:11" s="17" customFormat="1" ht="22.5" customHeight="1" x14ac:dyDescent="0.35">
      <c r="F219" s="32"/>
      <c r="G219" s="32"/>
      <c r="H219" s="32"/>
      <c r="I219" s="32"/>
      <c r="J219" s="32"/>
      <c r="K219" s="32"/>
    </row>
    <row r="220" spans="6:11" s="17" customFormat="1" ht="22.5" customHeight="1" x14ac:dyDescent="0.35">
      <c r="F220" s="32"/>
      <c r="G220" s="32"/>
      <c r="H220" s="32"/>
      <c r="I220" s="32"/>
      <c r="J220" s="32"/>
      <c r="K220" s="32"/>
    </row>
    <row r="221" spans="6:11" s="17" customFormat="1" ht="22.5" customHeight="1" x14ac:dyDescent="0.35">
      <c r="F221" s="32"/>
      <c r="G221" s="32"/>
      <c r="H221" s="32"/>
      <c r="I221" s="32"/>
      <c r="J221" s="32"/>
      <c r="K221" s="32"/>
    </row>
    <row r="222" spans="6:11" s="17" customFormat="1" ht="22.5" customHeight="1" x14ac:dyDescent="0.35">
      <c r="F222" s="32"/>
      <c r="G222" s="32"/>
      <c r="H222" s="32"/>
      <c r="I222" s="32"/>
      <c r="J222" s="32"/>
      <c r="K222" s="32"/>
    </row>
    <row r="223" spans="6:11" s="17" customFormat="1" ht="22.5" customHeight="1" x14ac:dyDescent="0.35">
      <c r="F223" s="32"/>
      <c r="G223" s="32"/>
      <c r="H223" s="32"/>
      <c r="I223" s="32"/>
      <c r="J223" s="32"/>
      <c r="K223" s="32"/>
    </row>
    <row r="224" spans="6:11" s="17" customFormat="1" ht="22.5" customHeight="1" x14ac:dyDescent="0.35">
      <c r="F224" s="32"/>
      <c r="G224" s="32"/>
      <c r="H224" s="32"/>
      <c r="I224" s="32"/>
      <c r="J224" s="32"/>
      <c r="K224" s="32"/>
    </row>
    <row r="225" spans="6:11" s="17" customFormat="1" ht="22.5" customHeight="1" x14ac:dyDescent="0.35">
      <c r="F225" s="32"/>
      <c r="G225" s="32"/>
      <c r="H225" s="32"/>
      <c r="I225" s="32"/>
      <c r="J225" s="32"/>
      <c r="K225" s="32"/>
    </row>
    <row r="226" spans="6:11" s="17" customFormat="1" ht="22.5" customHeight="1" x14ac:dyDescent="0.35">
      <c r="F226" s="32"/>
      <c r="G226" s="32"/>
      <c r="H226" s="32"/>
      <c r="I226" s="32"/>
      <c r="J226" s="32"/>
      <c r="K226" s="32"/>
    </row>
    <row r="227" spans="6:11" s="17" customFormat="1" ht="22.5" customHeight="1" x14ac:dyDescent="0.35">
      <c r="F227" s="32"/>
      <c r="G227" s="32"/>
      <c r="H227" s="32"/>
      <c r="I227" s="32"/>
      <c r="J227" s="32"/>
      <c r="K227" s="32"/>
    </row>
    <row r="228" spans="6:11" s="17" customFormat="1" ht="22.5" customHeight="1" x14ac:dyDescent="0.35">
      <c r="F228" s="32"/>
      <c r="G228" s="32"/>
      <c r="H228" s="32"/>
      <c r="I228" s="32"/>
      <c r="J228" s="32"/>
      <c r="K228" s="32"/>
    </row>
    <row r="229" spans="6:11" s="17" customFormat="1" ht="22.5" customHeight="1" x14ac:dyDescent="0.35">
      <c r="F229" s="32"/>
      <c r="G229" s="32"/>
      <c r="H229" s="32"/>
      <c r="I229" s="32"/>
      <c r="J229" s="32"/>
      <c r="K229" s="32"/>
    </row>
    <row r="230" spans="6:11" s="17" customFormat="1" ht="22.5" customHeight="1" x14ac:dyDescent="0.35">
      <c r="F230" s="32"/>
      <c r="G230" s="32"/>
      <c r="H230" s="32"/>
      <c r="I230" s="32"/>
      <c r="J230" s="32"/>
      <c r="K230" s="32"/>
    </row>
    <row r="231" spans="6:11" s="17" customFormat="1" ht="22.5" customHeight="1" x14ac:dyDescent="0.35">
      <c r="F231" s="32"/>
      <c r="G231" s="32"/>
      <c r="H231" s="32"/>
      <c r="I231" s="32"/>
      <c r="J231" s="32"/>
      <c r="K231" s="32"/>
    </row>
    <row r="232" spans="6:11" s="17" customFormat="1" ht="22.5" customHeight="1" x14ac:dyDescent="0.35">
      <c r="F232" s="32"/>
      <c r="G232" s="32"/>
      <c r="H232" s="32"/>
      <c r="I232" s="32"/>
      <c r="J232" s="32"/>
      <c r="K232" s="32"/>
    </row>
    <row r="233" spans="6:11" s="17" customFormat="1" ht="22.5" customHeight="1" x14ac:dyDescent="0.35">
      <c r="F233" s="32"/>
      <c r="G233" s="32"/>
      <c r="H233" s="32"/>
      <c r="I233" s="32"/>
      <c r="J233" s="32"/>
      <c r="K233" s="32"/>
    </row>
    <row r="234" spans="6:11" s="17" customFormat="1" ht="22.5" customHeight="1" x14ac:dyDescent="0.35">
      <c r="F234" s="32"/>
      <c r="G234" s="32"/>
      <c r="H234" s="32"/>
      <c r="I234" s="32"/>
      <c r="J234" s="32"/>
      <c r="K234" s="32"/>
    </row>
    <row r="235" spans="6:11" s="17" customFormat="1" ht="22.5" customHeight="1" x14ac:dyDescent="0.35">
      <c r="F235" s="32"/>
      <c r="G235" s="32"/>
      <c r="H235" s="32"/>
      <c r="I235" s="32"/>
      <c r="J235" s="32"/>
      <c r="K235" s="32"/>
    </row>
    <row r="236" spans="6:11" s="17" customFormat="1" ht="22.5" customHeight="1" x14ac:dyDescent="0.35">
      <c r="F236" s="32"/>
      <c r="G236" s="32"/>
      <c r="H236" s="32"/>
      <c r="I236" s="32"/>
      <c r="J236" s="32"/>
      <c r="K236" s="32"/>
    </row>
    <row r="237" spans="6:11" s="17" customFormat="1" ht="22.5" customHeight="1" x14ac:dyDescent="0.35">
      <c r="F237" s="32"/>
      <c r="G237" s="32"/>
      <c r="H237" s="32"/>
      <c r="I237" s="32"/>
      <c r="J237" s="32"/>
      <c r="K237" s="32"/>
    </row>
    <row r="238" spans="6:11" s="17" customFormat="1" ht="22.5" customHeight="1" x14ac:dyDescent="0.35">
      <c r="F238" s="32"/>
      <c r="G238" s="32"/>
      <c r="H238" s="32"/>
      <c r="I238" s="32"/>
      <c r="J238" s="32"/>
      <c r="K238" s="32"/>
    </row>
    <row r="239" spans="6:11" s="17" customFormat="1" ht="22.5" customHeight="1" x14ac:dyDescent="0.35">
      <c r="F239" s="32"/>
      <c r="G239" s="32"/>
      <c r="H239" s="32"/>
      <c r="I239" s="32"/>
      <c r="J239" s="32"/>
      <c r="K239" s="32"/>
    </row>
    <row r="240" spans="6:11" ht="23.1" customHeight="1" x14ac:dyDescent="0.35"/>
    <row r="241" spans="6:11" ht="23.1" customHeight="1" x14ac:dyDescent="0.35"/>
    <row r="242" spans="6:11" s="17" customFormat="1" ht="22.5" customHeight="1" x14ac:dyDescent="0.35">
      <c r="F242" s="32"/>
      <c r="G242" s="32"/>
      <c r="H242" s="32"/>
      <c r="I242" s="32"/>
      <c r="J242" s="32"/>
      <c r="K242" s="32"/>
    </row>
    <row r="243" spans="6:11" s="17" customFormat="1" ht="22.5" customHeight="1" x14ac:dyDescent="0.35">
      <c r="F243" s="32"/>
      <c r="G243" s="32"/>
      <c r="H243" s="32"/>
      <c r="I243" s="32"/>
      <c r="J243" s="32"/>
      <c r="K243" s="32"/>
    </row>
    <row r="244" spans="6:11" s="17" customFormat="1" ht="22.5" customHeight="1" x14ac:dyDescent="0.35">
      <c r="F244" s="32"/>
      <c r="G244" s="32"/>
      <c r="H244" s="32"/>
      <c r="I244" s="32"/>
      <c r="J244" s="32"/>
      <c r="K244" s="32"/>
    </row>
    <row r="245" spans="6:11" s="17" customFormat="1" ht="22.5" customHeight="1" x14ac:dyDescent="0.35">
      <c r="F245" s="32"/>
      <c r="G245" s="32"/>
      <c r="H245" s="32"/>
      <c r="I245" s="32"/>
      <c r="J245" s="32"/>
      <c r="K245" s="32"/>
    </row>
    <row r="246" spans="6:11" s="17" customFormat="1" ht="22.5" customHeight="1" x14ac:dyDescent="0.35">
      <c r="F246" s="32"/>
      <c r="G246" s="32"/>
      <c r="H246" s="32"/>
      <c r="I246" s="32"/>
      <c r="J246" s="32"/>
      <c r="K246" s="32"/>
    </row>
    <row r="247" spans="6:11" ht="22.5" customHeight="1" x14ac:dyDescent="0.35"/>
  </sheetData>
  <autoFilter ref="B9:K46" xr:uid="{25037CB1-1A8D-4356-A062-D1FDCF4BCC7F}"/>
  <mergeCells count="6">
    <mergeCell ref="K7:K8"/>
    <mergeCell ref="B7:B8"/>
    <mergeCell ref="C7:C8"/>
    <mergeCell ref="D7:H7"/>
    <mergeCell ref="I7:I8"/>
    <mergeCell ref="J7:J8"/>
  </mergeCells>
  <printOptions horizontalCentered="1"/>
  <pageMargins left="0" right="0" top="0.15748031496062992" bottom="0.15748031496062992" header="0" footer="0"/>
  <pageSetup scale="41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36A6-34F9-45E9-8D4D-25E849F33357}">
  <dimension ref="B2:Q37"/>
  <sheetViews>
    <sheetView view="pageBreakPreview" zoomScale="70" zoomScaleNormal="70" zoomScaleSheetLayoutView="70" workbookViewId="0">
      <selection activeCell="G5" sqref="G5"/>
    </sheetView>
  </sheetViews>
  <sheetFormatPr baseColWidth="10" defaultColWidth="11.42578125" defaultRowHeight="15" x14ac:dyDescent="0.2"/>
  <cols>
    <col min="1" max="1" width="5.7109375" style="70" customWidth="1"/>
    <col min="2" max="2" width="7.140625" style="67" customWidth="1"/>
    <col min="3" max="3" width="48.140625" style="70" customWidth="1"/>
    <col min="4" max="5" width="18.5703125" style="70" customWidth="1"/>
    <col min="6" max="8" width="18.5703125" style="67" customWidth="1"/>
    <col min="9" max="13" width="18.5703125" style="70" customWidth="1"/>
    <col min="14" max="14" width="13.85546875" style="70" bestFit="1" customWidth="1"/>
    <col min="15" max="15" width="15.140625" style="71" customWidth="1"/>
    <col min="16" max="16" width="12.28515625" style="71" customWidth="1"/>
    <col min="17" max="17" width="13.42578125" style="71" customWidth="1"/>
    <col min="18" max="16384" width="11.42578125" style="70"/>
  </cols>
  <sheetData>
    <row r="2" spans="2:13" ht="27.95" customHeight="1" x14ac:dyDescent="0.25">
      <c r="C2" s="68" t="s">
        <v>29</v>
      </c>
      <c r="D2" s="69" t="s">
        <v>73</v>
      </c>
    </row>
    <row r="3" spans="2:13" ht="27.95" customHeight="1" x14ac:dyDescent="0.25">
      <c r="C3" s="68" t="s">
        <v>0</v>
      </c>
      <c r="D3" s="69" t="s">
        <v>74</v>
      </c>
    </row>
    <row r="4" spans="2:13" ht="27.95" customHeight="1" x14ac:dyDescent="0.25">
      <c r="C4" s="68" t="s">
        <v>1</v>
      </c>
      <c r="D4" s="69" t="s">
        <v>117</v>
      </c>
    </row>
    <row r="5" spans="2:13" ht="27.95" customHeight="1" x14ac:dyDescent="0.25">
      <c r="C5" s="68" t="s">
        <v>2</v>
      </c>
      <c r="D5" s="72" t="s">
        <v>118</v>
      </c>
    </row>
    <row r="6" spans="2:13" ht="27.95" customHeight="1" thickBot="1" x14ac:dyDescent="0.25"/>
    <row r="7" spans="2:13" s="109" customFormat="1" ht="27.95" customHeight="1" thickBot="1" x14ac:dyDescent="0.3">
      <c r="B7" s="184" t="s">
        <v>3</v>
      </c>
      <c r="C7" s="184" t="s">
        <v>4</v>
      </c>
      <c r="D7" s="186" t="s">
        <v>6</v>
      </c>
      <c r="E7" s="187"/>
      <c r="F7" s="188"/>
      <c r="G7" s="186" t="s">
        <v>7</v>
      </c>
      <c r="H7" s="187"/>
      <c r="I7" s="188"/>
      <c r="J7" s="187" t="s">
        <v>8</v>
      </c>
      <c r="K7" s="187"/>
      <c r="L7" s="188"/>
      <c r="M7" s="182" t="s">
        <v>70</v>
      </c>
    </row>
    <row r="8" spans="2:13" s="77" customFormat="1" ht="27.95" customHeight="1" thickBot="1" x14ac:dyDescent="0.3">
      <c r="B8" s="185"/>
      <c r="C8" s="185"/>
      <c r="D8" s="73" t="s">
        <v>69</v>
      </c>
      <c r="E8" s="74" t="s">
        <v>65</v>
      </c>
      <c r="F8" s="75" t="s">
        <v>66</v>
      </c>
      <c r="G8" s="73" t="s">
        <v>69</v>
      </c>
      <c r="H8" s="74" t="s">
        <v>65</v>
      </c>
      <c r="I8" s="75" t="s">
        <v>66</v>
      </c>
      <c r="J8" s="76" t="s">
        <v>69</v>
      </c>
      <c r="K8" s="74" t="s">
        <v>65</v>
      </c>
      <c r="L8" s="75" t="s">
        <v>66</v>
      </c>
      <c r="M8" s="183"/>
    </row>
    <row r="9" spans="2:13" s="109" customFormat="1" ht="27.95" customHeight="1" x14ac:dyDescent="0.25">
      <c r="B9" s="105">
        <f>SUBTOTAL(103,$F9:F$9)</f>
        <v>1</v>
      </c>
      <c r="C9" s="106" t="s">
        <v>9</v>
      </c>
      <c r="D9" s="107">
        <v>242762.30132450332</v>
      </c>
      <c r="E9" s="108">
        <v>288522.57005298376</v>
      </c>
      <c r="F9" s="78">
        <f>D9-E9</f>
        <v>-45760.268728480441</v>
      </c>
      <c r="G9" s="79">
        <v>0</v>
      </c>
      <c r="H9" s="80">
        <v>0</v>
      </c>
      <c r="I9" s="81">
        <f>G9-H9</f>
        <v>0</v>
      </c>
      <c r="J9" s="82">
        <v>0</v>
      </c>
      <c r="K9" s="80">
        <v>0</v>
      </c>
      <c r="L9" s="83">
        <f>J9-K9</f>
        <v>0</v>
      </c>
      <c r="M9" s="84">
        <f>+F9+I9+L9</f>
        <v>-45760.268728480441</v>
      </c>
    </row>
    <row r="10" spans="2:13" s="109" customFormat="1" ht="27.95" customHeight="1" x14ac:dyDescent="0.25">
      <c r="B10" s="110">
        <f>SUBTOTAL(103,$F$9:F10)</f>
        <v>2</v>
      </c>
      <c r="C10" s="111" t="s">
        <v>10</v>
      </c>
      <c r="D10" s="112">
        <v>3406573.3</v>
      </c>
      <c r="E10" s="113">
        <v>2497406.66</v>
      </c>
      <c r="F10" s="85">
        <f t="shared" ref="F10:F31" si="0">D10-E10</f>
        <v>909166.63999999966</v>
      </c>
      <c r="G10" s="86">
        <v>4668606.6500000004</v>
      </c>
      <c r="H10" s="87">
        <v>4143886.9099999997</v>
      </c>
      <c r="I10" s="88">
        <f t="shared" ref="I10:I31" si="1">G10-H10</f>
        <v>524719.74000000069</v>
      </c>
      <c r="J10" s="89">
        <v>1419645</v>
      </c>
      <c r="K10" s="87">
        <v>0</v>
      </c>
      <c r="L10" s="90">
        <f>J10-K10</f>
        <v>1419645</v>
      </c>
      <c r="M10" s="91">
        <f t="shared" ref="M10:M31" si="2">+F10+I10+L10</f>
        <v>2853531.3800000004</v>
      </c>
    </row>
    <row r="11" spans="2:13" s="109" customFormat="1" ht="27.95" customHeight="1" x14ac:dyDescent="0.25">
      <c r="B11" s="110">
        <f>SUBTOTAL(103,$F$9:F11)</f>
        <v>3</v>
      </c>
      <c r="C11" s="111" t="s">
        <v>11</v>
      </c>
      <c r="D11" s="112">
        <v>1697812.03</v>
      </c>
      <c r="E11" s="113">
        <v>1450020.6228653949</v>
      </c>
      <c r="F11" s="85">
        <f t="shared" si="0"/>
        <v>247791.40713460511</v>
      </c>
      <c r="G11" s="86">
        <v>0</v>
      </c>
      <c r="H11" s="87">
        <v>0</v>
      </c>
      <c r="I11" s="88">
        <f t="shared" si="1"/>
        <v>0</v>
      </c>
      <c r="J11" s="89">
        <v>0</v>
      </c>
      <c r="K11" s="87">
        <v>0</v>
      </c>
      <c r="L11" s="90">
        <f t="shared" ref="L11:L31" si="3">J11-K11</f>
        <v>0</v>
      </c>
      <c r="M11" s="91">
        <f t="shared" si="2"/>
        <v>247791.40713460511</v>
      </c>
    </row>
    <row r="12" spans="2:13" s="109" customFormat="1" ht="27.95" customHeight="1" x14ac:dyDescent="0.25">
      <c r="B12" s="110">
        <f>SUBTOTAL(103,$F$9:F12)</f>
        <v>4</v>
      </c>
      <c r="C12" s="111" t="s">
        <v>90</v>
      </c>
      <c r="D12" s="112">
        <v>156521.79</v>
      </c>
      <c r="E12" s="113">
        <v>241947.81227645066</v>
      </c>
      <c r="F12" s="85">
        <f t="shared" si="0"/>
        <v>-85426.022276450647</v>
      </c>
      <c r="G12" s="86">
        <v>0</v>
      </c>
      <c r="H12" s="87">
        <v>0</v>
      </c>
      <c r="I12" s="88">
        <f t="shared" ref="I12" si="4">G12-H12</f>
        <v>0</v>
      </c>
      <c r="J12" s="89">
        <v>0</v>
      </c>
      <c r="K12" s="87">
        <v>0</v>
      </c>
      <c r="L12" s="90">
        <f t="shared" ref="L12" si="5">J12-K12</f>
        <v>0</v>
      </c>
      <c r="M12" s="91">
        <f t="shared" si="2"/>
        <v>-85426.022276450647</v>
      </c>
    </row>
    <row r="13" spans="2:13" s="109" customFormat="1" ht="27.95" customHeight="1" x14ac:dyDescent="0.25">
      <c r="B13" s="110">
        <f>SUBTOTAL(103,$F$9:F13)</f>
        <v>5</v>
      </c>
      <c r="C13" s="111" t="s">
        <v>12</v>
      </c>
      <c r="D13" s="112">
        <v>2032744.7657142857</v>
      </c>
      <c r="E13" s="113">
        <v>2336096.2200000007</v>
      </c>
      <c r="F13" s="85">
        <f t="shared" si="0"/>
        <v>-303351.45428571501</v>
      </c>
      <c r="G13" s="86">
        <v>592457.43000000005</v>
      </c>
      <c r="H13" s="87">
        <v>1514432.7555999998</v>
      </c>
      <c r="I13" s="88">
        <f t="shared" si="1"/>
        <v>-921975.32559999975</v>
      </c>
      <c r="J13" s="89">
        <v>1488179.35</v>
      </c>
      <c r="K13" s="87">
        <v>378013.26</v>
      </c>
      <c r="L13" s="90">
        <f t="shared" si="3"/>
        <v>1110166.0900000001</v>
      </c>
      <c r="M13" s="91">
        <f t="shared" si="2"/>
        <v>-115160.68988571479</v>
      </c>
    </row>
    <row r="14" spans="2:13" s="109" customFormat="1" ht="27.95" customHeight="1" x14ac:dyDescent="0.25">
      <c r="B14" s="110">
        <f>SUBTOTAL(103,$F$9:F14)</f>
        <v>6</v>
      </c>
      <c r="C14" s="111" t="s">
        <v>13</v>
      </c>
      <c r="D14" s="112">
        <v>344915.49096365663</v>
      </c>
      <c r="E14" s="113">
        <v>369255.09096365672</v>
      </c>
      <c r="F14" s="85">
        <f t="shared" si="0"/>
        <v>-24339.600000000093</v>
      </c>
      <c r="G14" s="86">
        <v>94630.52</v>
      </c>
      <c r="H14" s="87">
        <v>192416.92</v>
      </c>
      <c r="I14" s="88">
        <f t="shared" si="1"/>
        <v>-97786.400000000009</v>
      </c>
      <c r="J14" s="89">
        <v>262189.63</v>
      </c>
      <c r="K14" s="87">
        <v>20098.400000000001</v>
      </c>
      <c r="L14" s="90">
        <f t="shared" si="3"/>
        <v>242091.23</v>
      </c>
      <c r="M14" s="91">
        <f t="shared" si="2"/>
        <v>119965.22999999991</v>
      </c>
    </row>
    <row r="15" spans="2:13" s="109" customFormat="1" ht="27.95" customHeight="1" x14ac:dyDescent="0.25">
      <c r="B15" s="110">
        <f>SUBTOTAL(103,$F$9:F15)</f>
        <v>7</v>
      </c>
      <c r="C15" s="111" t="s">
        <v>111</v>
      </c>
      <c r="D15" s="112">
        <v>550724.17000000004</v>
      </c>
      <c r="E15" s="113">
        <v>372969.11999999994</v>
      </c>
      <c r="F15" s="85">
        <f t="shared" si="0"/>
        <v>177755.0500000001</v>
      </c>
      <c r="G15" s="86">
        <v>139000</v>
      </c>
      <c r="H15" s="87">
        <v>283880</v>
      </c>
      <c r="I15" s="88">
        <f t="shared" si="1"/>
        <v>-144880</v>
      </c>
      <c r="J15" s="89">
        <v>244012</v>
      </c>
      <c r="K15" s="87">
        <v>26112</v>
      </c>
      <c r="L15" s="90">
        <f t="shared" si="3"/>
        <v>217900</v>
      </c>
      <c r="M15" s="91">
        <f t="shared" si="2"/>
        <v>250775.0500000001</v>
      </c>
    </row>
    <row r="16" spans="2:13" s="109" customFormat="1" ht="27.95" customHeight="1" x14ac:dyDescent="0.25">
      <c r="B16" s="110">
        <f>SUBTOTAL(103,$F$9:F16)</f>
        <v>8</v>
      </c>
      <c r="C16" s="111" t="s">
        <v>14</v>
      </c>
      <c r="D16" s="112">
        <v>6084418.4500000002</v>
      </c>
      <c r="E16" s="113">
        <v>3114809.2588569466</v>
      </c>
      <c r="F16" s="85">
        <f t="shared" si="0"/>
        <v>2969609.1911430536</v>
      </c>
      <c r="G16" s="86">
        <v>5041047.26</v>
      </c>
      <c r="H16" s="87">
        <v>1307314.1000000001</v>
      </c>
      <c r="I16" s="88">
        <f t="shared" si="1"/>
        <v>3733733.1599999997</v>
      </c>
      <c r="J16" s="89">
        <v>1857527</v>
      </c>
      <c r="K16" s="87">
        <v>231986.59999999998</v>
      </c>
      <c r="L16" s="90">
        <f t="shared" si="3"/>
        <v>1625540.4</v>
      </c>
      <c r="M16" s="91">
        <f t="shared" si="2"/>
        <v>8328882.7511430532</v>
      </c>
    </row>
    <row r="17" spans="2:17" s="109" customFormat="1" ht="27.95" customHeight="1" x14ac:dyDescent="0.25">
      <c r="B17" s="110">
        <f>SUBTOTAL(103,$F$9:F17)</f>
        <v>9</v>
      </c>
      <c r="C17" s="111" t="s">
        <v>15</v>
      </c>
      <c r="D17" s="112">
        <v>5660735.3399999999</v>
      </c>
      <c r="E17" s="113">
        <v>5359784.1799617037</v>
      </c>
      <c r="F17" s="85">
        <f t="shared" si="0"/>
        <v>300951.16003829613</v>
      </c>
      <c r="G17" s="86">
        <v>0</v>
      </c>
      <c r="H17" s="87">
        <v>0</v>
      </c>
      <c r="I17" s="88">
        <f t="shared" si="1"/>
        <v>0</v>
      </c>
      <c r="J17" s="89">
        <v>0</v>
      </c>
      <c r="K17" s="87">
        <v>0</v>
      </c>
      <c r="L17" s="90">
        <f t="shared" si="3"/>
        <v>0</v>
      </c>
      <c r="M17" s="91">
        <f t="shared" si="2"/>
        <v>300951.16003829613</v>
      </c>
    </row>
    <row r="18" spans="2:17" s="109" customFormat="1" ht="27.95" customHeight="1" x14ac:dyDescent="0.25">
      <c r="B18" s="110">
        <f>SUBTOTAL(103,$F$9:F18)</f>
        <v>10</v>
      </c>
      <c r="C18" s="111" t="s">
        <v>16</v>
      </c>
      <c r="D18" s="112">
        <v>1143801.9099999999</v>
      </c>
      <c r="E18" s="113">
        <v>703249.42289999989</v>
      </c>
      <c r="F18" s="85">
        <f t="shared" si="0"/>
        <v>440552.48710000003</v>
      </c>
      <c r="G18" s="86">
        <v>76398.039999999994</v>
      </c>
      <c r="H18" s="87">
        <v>912113.59759999986</v>
      </c>
      <c r="I18" s="88">
        <f t="shared" si="1"/>
        <v>-835715.55759999983</v>
      </c>
      <c r="J18" s="89">
        <v>144540.73000000001</v>
      </c>
      <c r="K18" s="87">
        <v>289188.02</v>
      </c>
      <c r="L18" s="90">
        <f t="shared" si="3"/>
        <v>-144647.29</v>
      </c>
      <c r="M18" s="91">
        <f t="shared" si="2"/>
        <v>-539810.36049999984</v>
      </c>
    </row>
    <row r="19" spans="2:17" s="109" customFormat="1" ht="27.95" customHeight="1" x14ac:dyDescent="0.25">
      <c r="B19" s="110">
        <f>SUBTOTAL(103,$F$9:F19)</f>
        <v>11</v>
      </c>
      <c r="C19" s="111" t="s">
        <v>17</v>
      </c>
      <c r="D19" s="112">
        <v>12177157.49</v>
      </c>
      <c r="E19" s="113">
        <v>14060867.618818186</v>
      </c>
      <c r="F19" s="85">
        <f t="shared" si="0"/>
        <v>-1883710.128818186</v>
      </c>
      <c r="G19" s="86">
        <v>3500740</v>
      </c>
      <c r="H19" s="87">
        <v>7425587.8031999981</v>
      </c>
      <c r="I19" s="88">
        <f t="shared" si="1"/>
        <v>-3924847.8031999981</v>
      </c>
      <c r="J19" s="89">
        <v>915148.84</v>
      </c>
      <c r="K19" s="87">
        <v>1150427</v>
      </c>
      <c r="L19" s="90">
        <f t="shared" si="3"/>
        <v>-235278.16000000003</v>
      </c>
      <c r="M19" s="91">
        <f t="shared" si="2"/>
        <v>-6043836.0920181843</v>
      </c>
    </row>
    <row r="20" spans="2:17" s="109" customFormat="1" ht="27.95" customHeight="1" x14ac:dyDescent="0.25">
      <c r="B20" s="110">
        <f>SUBTOTAL(103,$F$9:F20)</f>
        <v>12</v>
      </c>
      <c r="C20" s="111" t="s">
        <v>18</v>
      </c>
      <c r="D20" s="112">
        <v>633622.35161290318</v>
      </c>
      <c r="E20" s="113">
        <v>396833.66951654357</v>
      </c>
      <c r="F20" s="85">
        <f t="shared" si="0"/>
        <v>236788.68209635961</v>
      </c>
      <c r="G20" s="86">
        <v>384025.21</v>
      </c>
      <c r="H20" s="87">
        <v>149312</v>
      </c>
      <c r="I20" s="88">
        <f t="shared" si="1"/>
        <v>234713.21000000002</v>
      </c>
      <c r="J20" s="89">
        <v>691555.52</v>
      </c>
      <c r="K20" s="87">
        <v>439769.48</v>
      </c>
      <c r="L20" s="90">
        <f t="shared" si="3"/>
        <v>251786.04000000004</v>
      </c>
      <c r="M20" s="91">
        <f t="shared" si="2"/>
        <v>723287.93209635967</v>
      </c>
    </row>
    <row r="21" spans="2:17" s="109" customFormat="1" ht="27.95" customHeight="1" x14ac:dyDescent="0.25">
      <c r="B21" s="110">
        <f>SUBTOTAL(103,$F$9:F21)</f>
        <v>13</v>
      </c>
      <c r="C21" s="111" t="s">
        <v>19</v>
      </c>
      <c r="D21" s="112">
        <v>3376932.88</v>
      </c>
      <c r="E21" s="113">
        <v>3985774.223499998</v>
      </c>
      <c r="F21" s="85">
        <f t="shared" si="0"/>
        <v>-608841.3434999981</v>
      </c>
      <c r="G21" s="86">
        <v>1248046.53</v>
      </c>
      <c r="H21" s="87">
        <v>3086146.7479999997</v>
      </c>
      <c r="I21" s="88">
        <f t="shared" si="1"/>
        <v>-1838100.2179999996</v>
      </c>
      <c r="J21" s="89">
        <v>1658420.95</v>
      </c>
      <c r="K21" s="87">
        <v>2224079.9900000002</v>
      </c>
      <c r="L21" s="90">
        <f t="shared" si="3"/>
        <v>-565659.04000000027</v>
      </c>
      <c r="M21" s="91">
        <f t="shared" si="2"/>
        <v>-3012600.601499998</v>
      </c>
    </row>
    <row r="22" spans="2:17" s="109" customFormat="1" ht="27.95" customHeight="1" x14ac:dyDescent="0.25">
      <c r="B22" s="110">
        <f>SUBTOTAL(103,$F$9:F22)</f>
        <v>14</v>
      </c>
      <c r="C22" s="111" t="s">
        <v>20</v>
      </c>
      <c r="D22" s="112">
        <v>3833650.64</v>
      </c>
      <c r="E22" s="113">
        <v>3797410.3263010322</v>
      </c>
      <c r="F22" s="85">
        <f t="shared" si="0"/>
        <v>36240.313698967919</v>
      </c>
      <c r="G22" s="86">
        <v>0</v>
      </c>
      <c r="H22" s="87">
        <v>0</v>
      </c>
      <c r="I22" s="88">
        <f t="shared" si="1"/>
        <v>0</v>
      </c>
      <c r="J22" s="89">
        <v>0</v>
      </c>
      <c r="K22" s="87">
        <v>0</v>
      </c>
      <c r="L22" s="90">
        <f t="shared" si="3"/>
        <v>0</v>
      </c>
      <c r="M22" s="91">
        <f t="shared" si="2"/>
        <v>36240.313698967919</v>
      </c>
    </row>
    <row r="23" spans="2:17" s="109" customFormat="1" ht="27.95" customHeight="1" x14ac:dyDescent="0.25">
      <c r="B23" s="110">
        <f>SUBTOTAL(103,$F$9:F23)</f>
        <v>15</v>
      </c>
      <c r="C23" s="111" t="s">
        <v>94</v>
      </c>
      <c r="D23" s="112"/>
      <c r="E23" s="113">
        <v>85015.88</v>
      </c>
      <c r="F23" s="85">
        <f t="shared" si="0"/>
        <v>-85015.88</v>
      </c>
      <c r="G23" s="86">
        <v>0</v>
      </c>
      <c r="H23" s="87">
        <v>55700</v>
      </c>
      <c r="I23" s="88">
        <f t="shared" si="1"/>
        <v>-55700</v>
      </c>
      <c r="J23" s="89">
        <v>0</v>
      </c>
      <c r="K23" s="87">
        <v>0</v>
      </c>
      <c r="L23" s="90">
        <f t="shared" si="3"/>
        <v>0</v>
      </c>
      <c r="M23" s="91">
        <f t="shared" si="2"/>
        <v>-140715.88</v>
      </c>
    </row>
    <row r="24" spans="2:17" s="109" customFormat="1" ht="27.95" customHeight="1" x14ac:dyDescent="0.25">
      <c r="B24" s="110">
        <f>SUBTOTAL(103,$F$9:F24)</f>
        <v>16</v>
      </c>
      <c r="C24" s="111" t="s">
        <v>86</v>
      </c>
      <c r="D24" s="112">
        <v>0</v>
      </c>
      <c r="E24" s="113">
        <f>38470.01+28270+24870</f>
        <v>91610.010000000009</v>
      </c>
      <c r="F24" s="85">
        <f t="shared" si="0"/>
        <v>-91610.010000000009</v>
      </c>
      <c r="G24" s="86">
        <v>0</v>
      </c>
      <c r="H24" s="87">
        <v>0</v>
      </c>
      <c r="I24" s="88">
        <f t="shared" ref="I24" si="6">G24-H24</f>
        <v>0</v>
      </c>
      <c r="J24" s="89">
        <v>0</v>
      </c>
      <c r="K24" s="87">
        <v>0</v>
      </c>
      <c r="L24" s="90">
        <f t="shared" ref="L24" si="7">J24-K24</f>
        <v>0</v>
      </c>
      <c r="M24" s="91">
        <f t="shared" si="2"/>
        <v>-91610.010000000009</v>
      </c>
    </row>
    <row r="25" spans="2:17" s="109" customFormat="1" ht="27.95" customHeight="1" x14ac:dyDescent="0.25">
      <c r="B25" s="110">
        <f>SUBTOTAL(103,$F$9:F25)</f>
        <v>17</v>
      </c>
      <c r="C25" s="111" t="s">
        <v>21</v>
      </c>
      <c r="D25" s="112">
        <v>2950287.75</v>
      </c>
      <c r="E25" s="113">
        <v>3964211.8510000021</v>
      </c>
      <c r="F25" s="85">
        <f t="shared" si="0"/>
        <v>-1013924.1010000021</v>
      </c>
      <c r="G25" s="86">
        <v>0</v>
      </c>
      <c r="H25" s="87">
        <v>0</v>
      </c>
      <c r="I25" s="88">
        <f t="shared" si="1"/>
        <v>0</v>
      </c>
      <c r="J25" s="89">
        <v>0</v>
      </c>
      <c r="K25" s="87">
        <v>0</v>
      </c>
      <c r="L25" s="90">
        <f t="shared" si="3"/>
        <v>0</v>
      </c>
      <c r="M25" s="91">
        <f t="shared" si="2"/>
        <v>-1013924.1010000021</v>
      </c>
    </row>
    <row r="26" spans="2:17" s="109" customFormat="1" ht="27.95" customHeight="1" x14ac:dyDescent="0.25">
      <c r="B26" s="110">
        <f>SUBTOTAL(103,$F$9:F26)</f>
        <v>18</v>
      </c>
      <c r="C26" s="111" t="s">
        <v>22</v>
      </c>
      <c r="D26" s="112">
        <v>4102031.7642857144</v>
      </c>
      <c r="E26" s="113">
        <v>4661212.6300581619</v>
      </c>
      <c r="F26" s="85">
        <f t="shared" si="0"/>
        <v>-559180.86577244755</v>
      </c>
      <c r="G26" s="86">
        <v>0</v>
      </c>
      <c r="H26" s="87">
        <v>0</v>
      </c>
      <c r="I26" s="88">
        <f t="shared" si="1"/>
        <v>0</v>
      </c>
      <c r="J26" s="89">
        <v>0</v>
      </c>
      <c r="K26" s="87">
        <v>0</v>
      </c>
      <c r="L26" s="90">
        <f t="shared" si="3"/>
        <v>0</v>
      </c>
      <c r="M26" s="91">
        <f t="shared" si="2"/>
        <v>-559180.86577244755</v>
      </c>
    </row>
    <row r="27" spans="2:17" s="109" customFormat="1" ht="27.95" customHeight="1" x14ac:dyDescent="0.25">
      <c r="B27" s="110">
        <f>SUBTOTAL(103,$F$9:F27)</f>
        <v>19</v>
      </c>
      <c r="C27" s="111" t="s">
        <v>98</v>
      </c>
      <c r="D27" s="112">
        <v>488192</v>
      </c>
      <c r="E27" s="113">
        <v>414106.3946765156</v>
      </c>
      <c r="F27" s="85">
        <f t="shared" si="0"/>
        <v>74085.6053234844</v>
      </c>
      <c r="G27" s="86">
        <v>0</v>
      </c>
      <c r="H27" s="87">
        <v>0</v>
      </c>
      <c r="I27" s="88">
        <f t="shared" ref="I27" si="8">G27-H27</f>
        <v>0</v>
      </c>
      <c r="J27" s="89">
        <v>0</v>
      </c>
      <c r="K27" s="87">
        <v>0</v>
      </c>
      <c r="L27" s="90">
        <f t="shared" ref="L27" si="9">J27-K27</f>
        <v>0</v>
      </c>
      <c r="M27" s="91">
        <f t="shared" ref="M27" si="10">+F27+I27+L27</f>
        <v>74085.6053234844</v>
      </c>
    </row>
    <row r="28" spans="2:17" s="109" customFormat="1" ht="27.95" customHeight="1" x14ac:dyDescent="0.25">
      <c r="B28" s="110">
        <f>SUBTOTAL(103,$F$9:F28)</f>
        <v>20</v>
      </c>
      <c r="C28" s="111" t="s">
        <v>23</v>
      </c>
      <c r="D28" s="112">
        <v>2605050.52</v>
      </c>
      <c r="E28" s="113">
        <v>3742682.5699999994</v>
      </c>
      <c r="F28" s="85">
        <f t="shared" si="0"/>
        <v>-1137632.0499999993</v>
      </c>
      <c r="G28" s="86">
        <v>1626600</v>
      </c>
      <c r="H28" s="87">
        <v>3464858.4800000004</v>
      </c>
      <c r="I28" s="88">
        <f t="shared" si="1"/>
        <v>-1838258.4800000004</v>
      </c>
      <c r="J28" s="89">
        <v>1369306.07</v>
      </c>
      <c r="K28" s="87">
        <v>178192.63</v>
      </c>
      <c r="L28" s="90">
        <f t="shared" si="3"/>
        <v>1191113.44</v>
      </c>
      <c r="M28" s="91">
        <f t="shared" si="2"/>
        <v>-1784777.0899999999</v>
      </c>
    </row>
    <row r="29" spans="2:17" s="109" customFormat="1" ht="27.95" customHeight="1" x14ac:dyDescent="0.25">
      <c r="B29" s="110">
        <f>SUBTOTAL(103,$F$9:F29)</f>
        <v>21</v>
      </c>
      <c r="C29" s="111" t="s">
        <v>24</v>
      </c>
      <c r="D29" s="112">
        <v>14927301.847204302</v>
      </c>
      <c r="E29" s="113">
        <v>5018404.5925361821</v>
      </c>
      <c r="F29" s="85">
        <f t="shared" si="0"/>
        <v>9908897.2546681203</v>
      </c>
      <c r="G29" s="86">
        <v>0</v>
      </c>
      <c r="H29" s="87">
        <v>0</v>
      </c>
      <c r="I29" s="88">
        <f t="shared" si="1"/>
        <v>0</v>
      </c>
      <c r="J29" s="89">
        <v>0</v>
      </c>
      <c r="K29" s="87">
        <v>0</v>
      </c>
      <c r="L29" s="90">
        <f t="shared" si="3"/>
        <v>0</v>
      </c>
      <c r="M29" s="91">
        <f t="shared" si="2"/>
        <v>9908897.2546681203</v>
      </c>
    </row>
    <row r="30" spans="2:17" s="109" customFormat="1" ht="27.95" customHeight="1" x14ac:dyDescent="0.25">
      <c r="B30" s="110">
        <f>SUBTOTAL(103,$F$9:F30)</f>
        <v>22</v>
      </c>
      <c r="C30" s="111" t="s">
        <v>89</v>
      </c>
      <c r="D30" s="112">
        <v>590085</v>
      </c>
      <c r="E30" s="113">
        <v>611327.54</v>
      </c>
      <c r="F30" s="85">
        <f t="shared" si="0"/>
        <v>-21242.540000000037</v>
      </c>
      <c r="G30" s="86">
        <v>755979</v>
      </c>
      <c r="H30" s="87">
        <v>710929</v>
      </c>
      <c r="I30" s="88">
        <f t="shared" si="1"/>
        <v>45050</v>
      </c>
      <c r="J30" s="89">
        <v>0</v>
      </c>
      <c r="K30" s="87">
        <v>0</v>
      </c>
      <c r="L30" s="90">
        <f t="shared" si="3"/>
        <v>0</v>
      </c>
      <c r="M30" s="91">
        <f t="shared" si="2"/>
        <v>23807.459999999963</v>
      </c>
    </row>
    <row r="31" spans="2:17" s="109" customFormat="1" ht="27.95" customHeight="1" x14ac:dyDescent="0.25">
      <c r="B31" s="110">
        <f>SUBTOTAL(103,$F$9:F31)</f>
        <v>23</v>
      </c>
      <c r="C31" s="111" t="s">
        <v>25</v>
      </c>
      <c r="D31" s="112">
        <v>205529.94999999998</v>
      </c>
      <c r="E31" s="113">
        <v>364510.09000000008</v>
      </c>
      <c r="F31" s="85">
        <f t="shared" si="0"/>
        <v>-158980.1400000001</v>
      </c>
      <c r="G31" s="86">
        <v>183847</v>
      </c>
      <c r="H31" s="87">
        <v>366422.62</v>
      </c>
      <c r="I31" s="88">
        <f t="shared" si="1"/>
        <v>-182575.62</v>
      </c>
      <c r="J31" s="89">
        <v>183847</v>
      </c>
      <c r="K31" s="87">
        <v>167401</v>
      </c>
      <c r="L31" s="90">
        <f t="shared" si="3"/>
        <v>16446</v>
      </c>
      <c r="M31" s="91">
        <f t="shared" si="2"/>
        <v>-325109.76000000013</v>
      </c>
    </row>
    <row r="32" spans="2:17" ht="27.95" customHeight="1" thickBot="1" x14ac:dyDescent="0.25">
      <c r="B32" s="92"/>
      <c r="C32" s="93"/>
      <c r="D32" s="94"/>
      <c r="E32" s="95"/>
      <c r="F32" s="96"/>
      <c r="G32" s="97"/>
      <c r="H32" s="98"/>
      <c r="I32" s="99"/>
      <c r="J32" s="100"/>
      <c r="K32" s="98"/>
      <c r="L32" s="101"/>
      <c r="M32" s="102"/>
      <c r="O32" s="70"/>
      <c r="P32" s="70"/>
      <c r="Q32" s="70"/>
    </row>
    <row r="33" spans="3:17" ht="27.95" customHeight="1" x14ac:dyDescent="0.25">
      <c r="C33" s="103"/>
      <c r="D33" s="103"/>
      <c r="E33" s="103"/>
      <c r="F33" s="104"/>
      <c r="G33" s="104"/>
      <c r="H33" s="104"/>
      <c r="I33" s="104"/>
      <c r="J33" s="104"/>
      <c r="K33" s="104"/>
      <c r="L33" s="104"/>
      <c r="M33" s="104"/>
      <c r="O33" s="70"/>
      <c r="P33" s="70"/>
      <c r="Q33" s="70"/>
    </row>
    <row r="34" spans="3:17" ht="27.95" customHeight="1" x14ac:dyDescent="0.25">
      <c r="C34" s="103"/>
      <c r="D34" s="103"/>
      <c r="E34" s="103"/>
      <c r="F34" s="104"/>
      <c r="G34" s="104"/>
      <c r="H34" s="104"/>
      <c r="I34" s="104"/>
      <c r="J34" s="104"/>
      <c r="K34" s="104"/>
      <c r="L34" s="104"/>
      <c r="M34" s="104"/>
      <c r="O34" s="70"/>
      <c r="P34" s="70"/>
      <c r="Q34" s="70"/>
    </row>
    <row r="35" spans="3:17" ht="27.95" customHeight="1" x14ac:dyDescent="0.25">
      <c r="C35" s="103"/>
      <c r="D35" s="103"/>
      <c r="E35" s="103"/>
      <c r="F35" s="104"/>
      <c r="G35" s="104"/>
      <c r="H35" s="104"/>
      <c r="I35" s="104"/>
      <c r="J35" s="104"/>
      <c r="K35" s="104"/>
      <c r="L35" s="104"/>
      <c r="M35" s="104"/>
      <c r="O35" s="70"/>
      <c r="P35" s="70"/>
      <c r="Q35" s="70"/>
    </row>
    <row r="36" spans="3:17" ht="27.95" customHeight="1" x14ac:dyDescent="0.25">
      <c r="C36" s="69" t="s">
        <v>26</v>
      </c>
      <c r="D36" s="69"/>
      <c r="E36" s="69"/>
      <c r="O36" s="70"/>
      <c r="P36" s="70"/>
      <c r="Q36" s="70"/>
    </row>
    <row r="37" spans="3:17" ht="27.95" customHeight="1" x14ac:dyDescent="0.25">
      <c r="C37" s="69" t="s">
        <v>27</v>
      </c>
      <c r="D37" s="69"/>
      <c r="E37" s="69"/>
      <c r="O37" s="70"/>
      <c r="P37" s="70"/>
      <c r="Q37" s="70"/>
    </row>
  </sheetData>
  <mergeCells count="6">
    <mergeCell ref="M7:M8"/>
    <mergeCell ref="B7:B8"/>
    <mergeCell ref="C7:C8"/>
    <mergeCell ref="D7:F7"/>
    <mergeCell ref="G7:I7"/>
    <mergeCell ref="J7:L7"/>
  </mergeCells>
  <pageMargins left="0.31496062992125984" right="0.31496062992125984" top="0.35433070866141736" bottom="0.35433070866141736" header="0.31496062992125984" footer="0.31496062992125984"/>
  <pageSetup scale="54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ING</vt:lpstr>
      <vt:lpstr>RESUMEN CONTRATISTAS 20-11-2025</vt:lpstr>
      <vt:lpstr>SEMANALES OBRAS 20-11-2025</vt:lpstr>
      <vt:lpstr>SALDOS 04-11-2025</vt:lpstr>
      <vt:lpstr>ING!Área_de_impresión</vt:lpstr>
      <vt:lpstr>'RESUMEN CONTRATISTAS 20-11-2025'!Área_de_impresión</vt:lpstr>
      <vt:lpstr>'SALDOS 04-11-2025'!Área_de_impresión</vt:lpstr>
      <vt:lpstr>'SEMANALES OBRAS 20-11-2025'!Área_de_impresión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Office</cp:lastModifiedBy>
  <cp:lastPrinted>2025-12-11T15:11:13Z</cp:lastPrinted>
  <dcterms:created xsi:type="dcterms:W3CDTF">2025-05-30T23:56:47Z</dcterms:created>
  <dcterms:modified xsi:type="dcterms:W3CDTF">2025-12-11T15:11:16Z</dcterms:modified>
</cp:coreProperties>
</file>
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comments2.xml" ContentType="application/vnd.openxmlformats-officedocument.spreadsheetml.comments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G:\Unidades compartidas\CARMEN FINANZAS\TABLA COBRANZA A CLIENTES\"/>
    </mc:Choice>
  </mc:AlternateContent>
  <xr:revisionPtr revIDLastSave="0" documentId="13_ncr:1_{2C51540A-2FEA-4341-A486-2F64CDD9D8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BRANZA TOTAL" sheetId="1" r:id="rId1"/>
    <sheet name="AEROPUERTO VALLARTA" sheetId="2" r:id="rId2"/>
    <sheet name="AMORES 619" sheetId="3" r:id="rId3"/>
    <sheet name="BAHLAY 2024" sheetId="4" r:id="rId4"/>
    <sheet name="BAHLAY LAMINADOS H" sheetId="5" r:id="rId5"/>
    <sheet name="BANBAJIO" sheetId="6" r:id="rId6"/>
    <sheet name="BEITI" sheetId="7" r:id="rId7"/>
    <sheet name="BEITI MUESTRA" sheetId="8" r:id="rId8"/>
    <sheet name="CASA DIAZ" sheetId="9" r:id="rId9"/>
    <sheet name="COM TECNO DISTRIB MOSO" sheetId="10" r:id="rId10"/>
    <sheet name="COM TECNO" sheetId="11" r:id="rId11"/>
    <sheet name="C BOSQUE DE OLMOS" sheetId="12" r:id="rId12"/>
    <sheet name="COLIMA 426" sheetId="13" r:id="rId13"/>
    <sheet name="CONSTITUYENTES 7" sheetId="14" r:id="rId14"/>
    <sheet name="CV GYM" sheetId="15" r:id="rId15"/>
    <sheet name="CV SUPERVISION" sheetId="16" r:id="rId16"/>
    <sheet name="DECK POLANCO" sheetId="17" r:id="rId17"/>
    <sheet name="EDITION KANAI" sheetId="18" r:id="rId18"/>
    <sheet name="ED LIMPIEZA MOSO" sheetId="19" r:id="rId19"/>
    <sheet name="EDITION KANAI X-TREME" sheetId="20" r:id="rId20"/>
    <sheet name="EMPORIO ACAPULCO" sheetId="21" r:id="rId21"/>
    <sheet name="EMPORIO CANC TORRE R" sheetId="22" r:id="rId22"/>
    <sheet name="FAIRMONT ACAPULCO" sheetId="23" r:id="rId23"/>
    <sheet name="FLOW" sheetId="25" r:id="rId24"/>
    <sheet name="FLOW 2025" sheetId="26" r:id="rId25"/>
    <sheet name="GHC" sheetId="27" r:id="rId26"/>
    <sheet name=" GHC MOSO" sheetId="63" r:id="rId27"/>
    <sheet name="HOTEL COPACABANA" sheetId="28" r:id="rId28"/>
    <sheet name="JAIME NUNO" sheetId="29" r:id="rId29"/>
    <sheet name="LANDMARK GDL RESIDENCIAL" sheetId="30" r:id="rId30"/>
    <sheet name="LANDMARK COMERCIO" sheetId="31" r:id="rId31"/>
    <sheet name="LANDMARK TIJUANA RES" sheetId="32" r:id="rId32"/>
    <sheet name="LANDMARK TIJUANA INTERIORES" sheetId="33" r:id="rId33"/>
    <sheet name="MARIANO ESCOBEDO" sheetId="34" r:id="rId34"/>
    <sheet name="MAURICIO CAPON" sheetId="35" r:id="rId35"/>
    <sheet name="MITIKAH" sheetId="62" r:id="rId36"/>
    <sheet name="MIRALTA" sheetId="36" r:id="rId37"/>
    <sheet name="MONTE AZUL 2024" sheetId="37" r:id="rId38"/>
    <sheet name="MU" sheetId="38" r:id="rId39"/>
    <sheet name="MU 2025" sheetId="39" r:id="rId40"/>
    <sheet name="NAARA" sheetId="40" r:id="rId41"/>
    <sheet name="NAARA PISO 2" sheetId="41" r:id="rId42"/>
    <sheet name="NUA INTERLOMAS" sheetId="42" r:id="rId43"/>
    <sheet name="OCEAN CLUB MAT" sheetId="43" r:id="rId44"/>
    <sheet name="OCEAN CLUB INST" sheetId="44" r:id="rId45"/>
    <sheet name="PARALLEL" sheetId="45" r:id="rId46"/>
    <sheet name="PARALLEL 2025" sheetId="46" r:id="rId47"/>
    <sheet name="PARALLEL HOP" sheetId="47" r:id="rId48"/>
    <sheet name="PUERTA POLANCO" sheetId="48" r:id="rId49"/>
    <sheet name="REFORMA 445" sheetId="49" r:id="rId50"/>
    <sheet name="ST REGIS " sheetId="50" r:id="rId51"/>
    <sheet name="ST REGIS PINTURA" sheetId="64" r:id="rId52"/>
    <sheet name="TAXCO CUERNAVACA" sheetId="51" r:id="rId53"/>
    <sheet name="TORRE BOSQUES" sheetId="52" r:id="rId54"/>
    <sheet name="T CHAPULTEPEC" sheetId="53" r:id="rId55"/>
    <sheet name="T REFORMA MTTO" sheetId="54" r:id="rId56"/>
    <sheet name="T VIRREYES AUDITORIO" sheetId="55" r:id="rId57"/>
    <sheet name="VTLUX" sheetId="56" r:id="rId58"/>
    <sheet name="VIDALTA 2803" sheetId="61" r:id="rId59"/>
    <sheet name="VILLAS KANAI" sheetId="57" r:id="rId60"/>
    <sheet name="VILLAS KANAI 2025" sheetId="58" r:id="rId61"/>
    <sheet name="VOLCAN 150" sheetId="59" r:id="rId62"/>
    <sheet name="WESTIN GDL " sheetId="60" r:id="rId6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4" roundtripDataChecksum="XebwxsXB3cBSN/qAWjQ9lSaHC5Tv59wjTI5/L+tiIL8="/>
    </ext>
  </extLst>
</workbook>
</file>

<file path=xl/calcChain.xml><?xml version="1.0" encoding="utf-8"?>
<calcChain xmlns="http://schemas.openxmlformats.org/spreadsheetml/2006/main">
  <c r="N50" i="1" l="1"/>
  <c r="N24" i="1"/>
  <c r="N10" i="1"/>
  <c r="E51" i="1"/>
  <c r="F51" i="1"/>
  <c r="D8" i="55"/>
  <c r="N43" i="1"/>
  <c r="N38" i="1"/>
  <c r="N31" i="1"/>
  <c r="N30" i="1"/>
  <c r="N27" i="1"/>
  <c r="H30" i="1" l="1"/>
  <c r="H31" i="1"/>
  <c r="F14" i="28" l="1"/>
  <c r="J48" i="1" l="1"/>
  <c r="M48" i="1"/>
  <c r="O48" i="1" s="1"/>
  <c r="L48" i="1"/>
  <c r="N26" i="1"/>
  <c r="N14" i="1"/>
  <c r="G21" i="32"/>
  <c r="G48" i="1"/>
  <c r="I48" i="1" s="1"/>
  <c r="J26" i="1"/>
  <c r="F26" i="1"/>
  <c r="M26" i="1" s="1"/>
  <c r="E26" i="1"/>
  <c r="G26" i="1" s="1"/>
  <c r="I26" i="1" s="1"/>
  <c r="D7" i="63"/>
  <c r="G15" i="63"/>
  <c r="F15" i="63"/>
  <c r="E15" i="63"/>
  <c r="D9" i="63"/>
  <c r="N55" i="1"/>
  <c r="L51" i="1"/>
  <c r="N33" i="1"/>
  <c r="N22" i="1"/>
  <c r="O26" i="1" l="1"/>
  <c r="L26" i="1"/>
  <c r="M51" i="1"/>
  <c r="N51" i="1" s="1"/>
  <c r="O51" i="1" s="1"/>
  <c r="D11" i="63"/>
  <c r="F34" i="1"/>
  <c r="E34" i="1"/>
  <c r="H34" i="1"/>
  <c r="G34" i="1" l="1"/>
  <c r="G15" i="62" l="1"/>
  <c r="F15" i="62"/>
  <c r="E15" i="62"/>
  <c r="D11" i="62"/>
  <c r="D10" i="23" l="1"/>
  <c r="D7" i="49"/>
  <c r="I34" i="1"/>
  <c r="E55" i="1" l="1"/>
  <c r="F55" i="1"/>
  <c r="J17" i="1"/>
  <c r="D9" i="61" l="1"/>
  <c r="D11" i="61" s="1"/>
  <c r="D7" i="23" l="1"/>
  <c r="D8" i="23"/>
  <c r="D8" i="4"/>
  <c r="F16" i="7" l="1"/>
  <c r="G16" i="7"/>
  <c r="E16" i="7"/>
  <c r="G14" i="60" l="1"/>
  <c r="F14" i="60"/>
  <c r="E14" i="60"/>
  <c r="D9" i="60"/>
  <c r="G14" i="59"/>
  <c r="F14" i="59"/>
  <c r="E14" i="59"/>
  <c r="D9" i="59"/>
  <c r="G14" i="58"/>
  <c r="F14" i="58"/>
  <c r="E14" i="58"/>
  <c r="D9" i="58"/>
  <c r="D8" i="58"/>
  <c r="G15" i="57"/>
  <c r="F15" i="57"/>
  <c r="E15" i="57"/>
  <c r="D11" i="57"/>
  <c r="D10" i="57"/>
  <c r="D9" i="57"/>
  <c r="D11" i="56"/>
  <c r="D9" i="56"/>
  <c r="G15" i="55"/>
  <c r="F15" i="55"/>
  <c r="E15" i="55"/>
  <c r="D10" i="55"/>
  <c r="D9" i="55"/>
  <c r="D11" i="55" s="1"/>
  <c r="G15" i="54"/>
  <c r="F15" i="54"/>
  <c r="E15" i="54"/>
  <c r="D9" i="54"/>
  <c r="D11" i="54" s="1"/>
  <c r="G15" i="53"/>
  <c r="F15" i="53"/>
  <c r="E15" i="53"/>
  <c r="D11" i="53"/>
  <c r="D8" i="53"/>
  <c r="D7" i="53"/>
  <c r="D9" i="53" s="1"/>
  <c r="G15" i="52"/>
  <c r="F15" i="52"/>
  <c r="E15" i="52"/>
  <c r="D9" i="52"/>
  <c r="D11" i="52" s="1"/>
  <c r="D7" i="52"/>
  <c r="G15" i="51"/>
  <c r="F15" i="51"/>
  <c r="E15" i="51"/>
  <c r="D11" i="51"/>
  <c r="D9" i="51"/>
  <c r="D10" i="50"/>
  <c r="D9" i="50"/>
  <c r="G15" i="49"/>
  <c r="F15" i="49"/>
  <c r="E15" i="49"/>
  <c r="D9" i="49"/>
  <c r="D11" i="49" s="1"/>
  <c r="G15" i="48"/>
  <c r="J49" i="1" s="1"/>
  <c r="F15" i="48"/>
  <c r="E15" i="48"/>
  <c r="D9" i="48"/>
  <c r="D11" i="48" s="1"/>
  <c r="D8" i="48"/>
  <c r="G15" i="47"/>
  <c r="F15" i="47"/>
  <c r="E15" i="47"/>
  <c r="D11" i="47"/>
  <c r="D9" i="47"/>
  <c r="G15" i="46"/>
  <c r="F15" i="46"/>
  <c r="E15" i="46"/>
  <c r="D8" i="46"/>
  <c r="G15" i="45"/>
  <c r="F15" i="45"/>
  <c r="E15" i="45"/>
  <c r="D11" i="45"/>
  <c r="D9" i="45"/>
  <c r="D8" i="45"/>
  <c r="F15" i="44"/>
  <c r="E14" i="44"/>
  <c r="E15" i="44" s="1"/>
  <c r="D11" i="44"/>
  <c r="D9" i="44"/>
  <c r="D8" i="44"/>
  <c r="G15" i="43"/>
  <c r="F15" i="43"/>
  <c r="E15" i="43"/>
  <c r="D9" i="43"/>
  <c r="D11" i="43" s="1"/>
  <c r="G15" i="42"/>
  <c r="J42" i="1" s="1"/>
  <c r="F15" i="42"/>
  <c r="E15" i="42"/>
  <c r="D9" i="42"/>
  <c r="D11" i="42" s="1"/>
  <c r="G15" i="41"/>
  <c r="F15" i="41"/>
  <c r="E15" i="41"/>
  <c r="D11" i="41"/>
  <c r="D9" i="41"/>
  <c r="D7" i="41"/>
  <c r="G15" i="40"/>
  <c r="F15" i="40"/>
  <c r="E15" i="40"/>
  <c r="D10" i="40"/>
  <c r="D9" i="40"/>
  <c r="D11" i="40" s="1"/>
  <c r="G15" i="39"/>
  <c r="F15" i="39"/>
  <c r="E15" i="39"/>
  <c r="D9" i="39"/>
  <c r="D11" i="39" s="1"/>
  <c r="D8" i="39"/>
  <c r="G15" i="38"/>
  <c r="F15" i="38"/>
  <c r="E15" i="38"/>
  <c r="D9" i="38"/>
  <c r="D11" i="38" s="1"/>
  <c r="D11" i="37"/>
  <c r="D9" i="37"/>
  <c r="D8" i="36"/>
  <c r="G15" i="35"/>
  <c r="F15" i="35"/>
  <c r="E15" i="35"/>
  <c r="D11" i="35"/>
  <c r="D9" i="35"/>
  <c r="G15" i="34"/>
  <c r="F15" i="34"/>
  <c r="E15" i="34"/>
  <c r="D9" i="34"/>
  <c r="D11" i="34" s="1"/>
  <c r="G22" i="33"/>
  <c r="F22" i="33"/>
  <c r="E22" i="33"/>
  <c r="D10" i="33"/>
  <c r="D9" i="33"/>
  <c r="D11" i="33" s="1"/>
  <c r="F24" i="32"/>
  <c r="E23" i="32"/>
  <c r="G23" i="32" s="1"/>
  <c r="E22" i="32"/>
  <c r="G22" i="32" s="1"/>
  <c r="G20" i="32"/>
  <c r="G19" i="32"/>
  <c r="G18" i="32"/>
  <c r="G17" i="32"/>
  <c r="G16" i="32"/>
  <c r="G15" i="32"/>
  <c r="D10" i="32"/>
  <c r="D9" i="32"/>
  <c r="G16" i="31"/>
  <c r="F16" i="31"/>
  <c r="E16" i="31"/>
  <c r="D9" i="31"/>
  <c r="D11" i="31" s="1"/>
  <c r="G16" i="30"/>
  <c r="F16" i="30"/>
  <c r="E16" i="30"/>
  <c r="D10" i="30"/>
  <c r="D9" i="30"/>
  <c r="D8" i="30"/>
  <c r="G15" i="29"/>
  <c r="F15" i="29"/>
  <c r="E15" i="29"/>
  <c r="E15" i="28"/>
  <c r="G14" i="28"/>
  <c r="G15" i="28" s="1"/>
  <c r="J27" i="1" s="1"/>
  <c r="F15" i="28"/>
  <c r="D10" i="28"/>
  <c r="D9" i="28"/>
  <c r="D11" i="28" s="1"/>
  <c r="G15" i="27"/>
  <c r="F15" i="27"/>
  <c r="E15" i="27"/>
  <c r="D10" i="27"/>
  <c r="D8" i="27"/>
  <c r="D9" i="27" s="1"/>
  <c r="D11" i="27" s="1"/>
  <c r="G15" i="26"/>
  <c r="J24" i="1" s="1"/>
  <c r="E15" i="26"/>
  <c r="D8" i="26"/>
  <c r="D8" i="25"/>
  <c r="D7" i="25"/>
  <c r="G15" i="23"/>
  <c r="F15" i="23"/>
  <c r="E15" i="23"/>
  <c r="D9" i="23"/>
  <c r="D11" i="23" s="1"/>
  <c r="G15" i="22"/>
  <c r="J21" i="1" s="1"/>
  <c r="F15" i="22"/>
  <c r="E15" i="22"/>
  <c r="D10" i="22"/>
  <c r="H21" i="1" s="1"/>
  <c r="D9" i="22"/>
  <c r="D11" i="22" s="1"/>
  <c r="G15" i="21"/>
  <c r="F15" i="21"/>
  <c r="E15" i="21"/>
  <c r="D10" i="21"/>
  <c r="D9" i="21"/>
  <c r="D11" i="21" s="1"/>
  <c r="D8" i="21"/>
  <c r="G15" i="20"/>
  <c r="G16" i="20" s="1"/>
  <c r="F15" i="20"/>
  <c r="E15" i="20"/>
  <c r="D9" i="20"/>
  <c r="D11" i="20" s="1"/>
  <c r="G17" i="19"/>
  <c r="G15" i="19"/>
  <c r="F15" i="19"/>
  <c r="F17" i="19" s="1"/>
  <c r="E15" i="19"/>
  <c r="E17" i="19" s="1"/>
  <c r="D9" i="19"/>
  <c r="D11" i="19" s="1"/>
  <c r="G15" i="18"/>
  <c r="F15" i="18"/>
  <c r="E15" i="18"/>
  <c r="D10" i="18"/>
  <c r="H71" i="1" s="1"/>
  <c r="D9" i="18"/>
  <c r="D9" i="17"/>
  <c r="D11" i="17" s="1"/>
  <c r="G15" i="16"/>
  <c r="F15" i="16"/>
  <c r="E15" i="16"/>
  <c r="D9" i="16"/>
  <c r="D11" i="16" s="1"/>
  <c r="D8" i="16"/>
  <c r="G15" i="15"/>
  <c r="F15" i="15"/>
  <c r="E15" i="15"/>
  <c r="D11" i="15"/>
  <c r="D9" i="15"/>
  <c r="D8" i="15"/>
  <c r="G15" i="14"/>
  <c r="F15" i="14"/>
  <c r="E15" i="14"/>
  <c r="D9" i="14"/>
  <c r="D11" i="14" s="1"/>
  <c r="D11" i="13"/>
  <c r="D9" i="13"/>
  <c r="G15" i="12"/>
  <c r="F15" i="12"/>
  <c r="E15" i="12"/>
  <c r="D11" i="12"/>
  <c r="D9" i="12"/>
  <c r="D11" i="11"/>
  <c r="D9" i="11"/>
  <c r="D11" i="10"/>
  <c r="D9" i="10"/>
  <c r="G15" i="9"/>
  <c r="F15" i="9"/>
  <c r="E15" i="9"/>
  <c r="D9" i="9"/>
  <c r="D11" i="9" s="1"/>
  <c r="D8" i="9"/>
  <c r="D9" i="8"/>
  <c r="D11" i="8" s="1"/>
  <c r="J12" i="1"/>
  <c r="D10" i="7"/>
  <c r="H12" i="1" s="1"/>
  <c r="D9" i="7"/>
  <c r="G15" i="6"/>
  <c r="F15" i="6"/>
  <c r="E15" i="6"/>
  <c r="D9" i="6"/>
  <c r="D11" i="6" s="1"/>
  <c r="G15" i="5"/>
  <c r="F15" i="5"/>
  <c r="E15" i="5"/>
  <c r="D9" i="5"/>
  <c r="D11" i="5" s="1"/>
  <c r="D7" i="5"/>
  <c r="J10" i="1"/>
  <c r="D9" i="4"/>
  <c r="D11" i="4" s="1"/>
  <c r="G15" i="3"/>
  <c r="J9" i="1" s="1"/>
  <c r="F15" i="3"/>
  <c r="E15" i="3"/>
  <c r="D9" i="3"/>
  <c r="D11" i="3" s="1"/>
  <c r="D8" i="2"/>
  <c r="D7" i="2"/>
  <c r="D9" i="2" s="1"/>
  <c r="D11" i="2" s="1"/>
  <c r="F89" i="1"/>
  <c r="M89" i="1" s="1"/>
  <c r="O89" i="1" s="1"/>
  <c r="E89" i="1"/>
  <c r="L89" i="1" s="1"/>
  <c r="M88" i="1"/>
  <c r="O88" i="1" s="1"/>
  <c r="L88" i="1"/>
  <c r="J88" i="1"/>
  <c r="G88" i="1"/>
  <c r="I88" i="1" s="1"/>
  <c r="N87" i="1"/>
  <c r="M87" i="1"/>
  <c r="L87" i="1"/>
  <c r="J87" i="1"/>
  <c r="G87" i="1"/>
  <c r="I87" i="1" s="1"/>
  <c r="M86" i="1"/>
  <c r="O86" i="1" s="1"/>
  <c r="L86" i="1"/>
  <c r="J86" i="1"/>
  <c r="G86" i="1"/>
  <c r="I86" i="1" s="1"/>
  <c r="M55" i="1"/>
  <c r="O55" i="1" s="1"/>
  <c r="L55" i="1"/>
  <c r="J55" i="1"/>
  <c r="G55" i="1"/>
  <c r="I55" i="1" s="1"/>
  <c r="N85" i="1"/>
  <c r="M85" i="1"/>
  <c r="J85" i="1"/>
  <c r="E85" i="1"/>
  <c r="L85" i="1" s="1"/>
  <c r="J84" i="1"/>
  <c r="F84" i="1"/>
  <c r="M84" i="1" s="1"/>
  <c r="O84" i="1" s="1"/>
  <c r="E84" i="1"/>
  <c r="L84" i="1" s="1"/>
  <c r="M83" i="1"/>
  <c r="O83" i="1" s="1"/>
  <c r="L83" i="1"/>
  <c r="J83" i="1"/>
  <c r="G83" i="1"/>
  <c r="I83" i="1" s="1"/>
  <c r="F82" i="1"/>
  <c r="M82" i="1" s="1"/>
  <c r="O82" i="1" s="1"/>
  <c r="E82" i="1"/>
  <c r="L82" i="1" s="1"/>
  <c r="M81" i="1"/>
  <c r="O81" i="1" s="1"/>
  <c r="L81" i="1"/>
  <c r="J81" i="1"/>
  <c r="G81" i="1"/>
  <c r="I81" i="1" s="1"/>
  <c r="N80" i="1"/>
  <c r="M80" i="1"/>
  <c r="L80" i="1"/>
  <c r="J80" i="1"/>
  <c r="G80" i="1"/>
  <c r="I80" i="1" s="1"/>
  <c r="M79" i="1"/>
  <c r="O79" i="1" s="1"/>
  <c r="L79" i="1"/>
  <c r="J79" i="1"/>
  <c r="G79" i="1"/>
  <c r="I79" i="1" s="1"/>
  <c r="N78" i="1"/>
  <c r="E78" i="1"/>
  <c r="N77" i="1"/>
  <c r="M77" i="1"/>
  <c r="L77" i="1"/>
  <c r="J77" i="1"/>
  <c r="I77" i="1"/>
  <c r="M76" i="1"/>
  <c r="O76" i="1" s="1"/>
  <c r="L76" i="1"/>
  <c r="J76" i="1"/>
  <c r="I76" i="1"/>
  <c r="N75" i="1"/>
  <c r="M75" i="1"/>
  <c r="L75" i="1"/>
  <c r="J75" i="1"/>
  <c r="G75" i="1"/>
  <c r="I75" i="1" s="1"/>
  <c r="M74" i="1"/>
  <c r="O74" i="1" s="1"/>
  <c r="L74" i="1"/>
  <c r="J74" i="1"/>
  <c r="G74" i="1"/>
  <c r="I74" i="1" s="1"/>
  <c r="M73" i="1"/>
  <c r="O73" i="1" s="1"/>
  <c r="L73" i="1"/>
  <c r="J73" i="1"/>
  <c r="G73" i="1"/>
  <c r="I73" i="1" s="1"/>
  <c r="N72" i="1"/>
  <c r="M72" i="1"/>
  <c r="L72" i="1"/>
  <c r="J72" i="1"/>
  <c r="G72" i="1"/>
  <c r="I72" i="1" s="1"/>
  <c r="N71" i="1"/>
  <c r="J71" i="1"/>
  <c r="F71" i="1"/>
  <c r="M71" i="1" s="1"/>
  <c r="E71" i="1"/>
  <c r="L71" i="1" s="1"/>
  <c r="N70" i="1"/>
  <c r="J70" i="1"/>
  <c r="F70" i="1"/>
  <c r="M70" i="1" s="1"/>
  <c r="E70" i="1"/>
  <c r="J19" i="1"/>
  <c r="F19" i="1"/>
  <c r="M19" i="1" s="1"/>
  <c r="O19" i="1" s="1"/>
  <c r="E19" i="1"/>
  <c r="J69" i="1"/>
  <c r="F69" i="1"/>
  <c r="M69" i="1" s="1"/>
  <c r="O69" i="1" s="1"/>
  <c r="E69" i="1"/>
  <c r="M68" i="1"/>
  <c r="O68" i="1" s="1"/>
  <c r="L68" i="1"/>
  <c r="J68" i="1"/>
  <c r="G68" i="1"/>
  <c r="I68" i="1" s="1"/>
  <c r="J67" i="1"/>
  <c r="F67" i="1"/>
  <c r="M67" i="1" s="1"/>
  <c r="O67" i="1" s="1"/>
  <c r="E67" i="1"/>
  <c r="L67" i="1" s="1"/>
  <c r="N66" i="1"/>
  <c r="M66" i="1"/>
  <c r="J66" i="1"/>
  <c r="E66" i="1"/>
  <c r="G66" i="1" s="1"/>
  <c r="I66" i="1" s="1"/>
  <c r="N59" i="1"/>
  <c r="J59" i="1"/>
  <c r="F59" i="1"/>
  <c r="M59" i="1" s="1"/>
  <c r="E59" i="1"/>
  <c r="L59" i="1" s="1"/>
  <c r="J58" i="1"/>
  <c r="F58" i="1"/>
  <c r="M58" i="1" s="1"/>
  <c r="O58" i="1" s="1"/>
  <c r="E58" i="1"/>
  <c r="L58" i="1" s="1"/>
  <c r="J57" i="1"/>
  <c r="F57" i="1"/>
  <c r="M57" i="1" s="1"/>
  <c r="O57" i="1" s="1"/>
  <c r="E57" i="1"/>
  <c r="L57" i="1" s="1"/>
  <c r="N56" i="1"/>
  <c r="F56" i="1"/>
  <c r="M56" i="1" s="1"/>
  <c r="E56" i="1"/>
  <c r="L56" i="1" s="1"/>
  <c r="N54" i="1"/>
  <c r="J54" i="1"/>
  <c r="H54" i="1"/>
  <c r="F54" i="1"/>
  <c r="M54" i="1" s="1"/>
  <c r="E54" i="1"/>
  <c r="F53" i="1"/>
  <c r="M53" i="1" s="1"/>
  <c r="O53" i="1" s="1"/>
  <c r="E53" i="1"/>
  <c r="L53" i="1" s="1"/>
  <c r="F52" i="1"/>
  <c r="M52" i="1" s="1"/>
  <c r="O52" i="1" s="1"/>
  <c r="E52" i="1"/>
  <c r="L52" i="1" s="1"/>
  <c r="J50" i="1"/>
  <c r="F50" i="1"/>
  <c r="M50" i="1" s="1"/>
  <c r="E50" i="1"/>
  <c r="L50" i="1" s="1"/>
  <c r="F49" i="1"/>
  <c r="M49" i="1" s="1"/>
  <c r="O49" i="1" s="1"/>
  <c r="E49" i="1"/>
  <c r="L49" i="1" s="1"/>
  <c r="F47" i="1"/>
  <c r="M47" i="1" s="1"/>
  <c r="O47" i="1" s="1"/>
  <c r="E47" i="1"/>
  <c r="L47" i="1" s="1"/>
  <c r="J46" i="1"/>
  <c r="E46" i="1"/>
  <c r="L46" i="1" s="1"/>
  <c r="N45" i="1"/>
  <c r="J45" i="1"/>
  <c r="E45" i="1"/>
  <c r="L45" i="1" s="1"/>
  <c r="N44" i="1"/>
  <c r="J44" i="1"/>
  <c r="F44" i="1"/>
  <c r="M44" i="1" s="1"/>
  <c r="E44" i="1"/>
  <c r="F43" i="1"/>
  <c r="M43" i="1" s="1"/>
  <c r="E43" i="1"/>
  <c r="L43" i="1" s="1"/>
  <c r="N42" i="1"/>
  <c r="H42" i="1"/>
  <c r="F42" i="1"/>
  <c r="M42" i="1" s="1"/>
  <c r="E42" i="1"/>
  <c r="L42" i="1" s="1"/>
  <c r="N41" i="1"/>
  <c r="M41" i="1"/>
  <c r="L41" i="1"/>
  <c r="J41" i="1"/>
  <c r="G41" i="1"/>
  <c r="I41" i="1" s="1"/>
  <c r="M40" i="1"/>
  <c r="O40" i="1" s="1"/>
  <c r="L40" i="1"/>
  <c r="G40" i="1"/>
  <c r="I40" i="1" s="1"/>
  <c r="E39" i="1"/>
  <c r="G39" i="1" s="1"/>
  <c r="I39" i="1" s="1"/>
  <c r="H38" i="1"/>
  <c r="F38" i="1"/>
  <c r="M38" i="1" s="1"/>
  <c r="E38" i="1"/>
  <c r="J37" i="1"/>
  <c r="F37" i="1"/>
  <c r="M37" i="1" s="1"/>
  <c r="O37" i="1" s="1"/>
  <c r="E37" i="1"/>
  <c r="N36" i="1"/>
  <c r="J36" i="1"/>
  <c r="H36" i="1"/>
  <c r="F36" i="1"/>
  <c r="M36" i="1" s="1"/>
  <c r="E36" i="1"/>
  <c r="L36" i="1" s="1"/>
  <c r="N35" i="1"/>
  <c r="F35" i="1"/>
  <c r="M35" i="1" s="1"/>
  <c r="E35" i="1"/>
  <c r="L35" i="1" s="1"/>
  <c r="F33" i="1"/>
  <c r="M33" i="1" s="1"/>
  <c r="E33" i="1"/>
  <c r="L33" i="1" s="1"/>
  <c r="N32" i="1"/>
  <c r="F32" i="1"/>
  <c r="M32" i="1" s="1"/>
  <c r="E32" i="1"/>
  <c r="L32" i="1" s="1"/>
  <c r="M31" i="1"/>
  <c r="O31" i="1" s="1"/>
  <c r="J30" i="1"/>
  <c r="M30" i="1"/>
  <c r="O30" i="1" s="1"/>
  <c r="L30" i="1"/>
  <c r="M29" i="1"/>
  <c r="O29" i="1" s="1"/>
  <c r="L29" i="1"/>
  <c r="J29" i="1"/>
  <c r="G29" i="1"/>
  <c r="I29" i="1" s="1"/>
  <c r="N28" i="1"/>
  <c r="J28" i="1"/>
  <c r="E28" i="1"/>
  <c r="L28" i="1" s="1"/>
  <c r="H27" i="1"/>
  <c r="F27" i="1"/>
  <c r="M27" i="1" s="1"/>
  <c r="O27" i="1" s="1"/>
  <c r="E27" i="1"/>
  <c r="L27" i="1" s="1"/>
  <c r="N25" i="1"/>
  <c r="J25" i="1"/>
  <c r="H25" i="1"/>
  <c r="F25" i="1"/>
  <c r="M25" i="1" s="1"/>
  <c r="E25" i="1"/>
  <c r="L25" i="1" s="1"/>
  <c r="E24" i="1"/>
  <c r="L24" i="1" s="1"/>
  <c r="J23" i="1"/>
  <c r="F23" i="1"/>
  <c r="M23" i="1" s="1"/>
  <c r="O23" i="1" s="1"/>
  <c r="J22" i="1"/>
  <c r="H22" i="1"/>
  <c r="F22" i="1"/>
  <c r="M22" i="1" s="1"/>
  <c r="E22" i="1"/>
  <c r="F21" i="1"/>
  <c r="M21" i="1" s="1"/>
  <c r="O21" i="1" s="1"/>
  <c r="E21" i="1"/>
  <c r="J20" i="1"/>
  <c r="H20" i="1"/>
  <c r="F20" i="1"/>
  <c r="M20" i="1" s="1"/>
  <c r="O20" i="1" s="1"/>
  <c r="E20" i="1"/>
  <c r="L20" i="1" s="1"/>
  <c r="J18" i="1"/>
  <c r="F18" i="1"/>
  <c r="M18" i="1" s="1"/>
  <c r="O18" i="1" s="1"/>
  <c r="E18" i="1"/>
  <c r="F17" i="1"/>
  <c r="M17" i="1" s="1"/>
  <c r="O17" i="1" s="1"/>
  <c r="E17" i="1"/>
  <c r="L17" i="1" s="1"/>
  <c r="J16" i="1"/>
  <c r="E16" i="1"/>
  <c r="G16" i="1" s="1"/>
  <c r="I16" i="1" s="1"/>
  <c r="J15" i="1"/>
  <c r="I15" i="1"/>
  <c r="F15" i="1"/>
  <c r="E15" i="1"/>
  <c r="J14" i="1"/>
  <c r="F14" i="1"/>
  <c r="M14" i="1" s="1"/>
  <c r="E14" i="1"/>
  <c r="L14" i="1" s="1"/>
  <c r="N13" i="1"/>
  <c r="J13" i="1"/>
  <c r="F13" i="1"/>
  <c r="M13" i="1" s="1"/>
  <c r="E13" i="1"/>
  <c r="N12" i="1"/>
  <c r="F12" i="1"/>
  <c r="M12" i="1" s="1"/>
  <c r="E12" i="1"/>
  <c r="L12" i="1" s="1"/>
  <c r="F11" i="1"/>
  <c r="M11" i="1" s="1"/>
  <c r="O11" i="1" s="1"/>
  <c r="E11" i="1"/>
  <c r="L11" i="1" s="1"/>
  <c r="F10" i="1"/>
  <c r="E10" i="1"/>
  <c r="N9" i="1"/>
  <c r="F9" i="1"/>
  <c r="M9" i="1" s="1"/>
  <c r="E9" i="1"/>
  <c r="F8" i="1"/>
  <c r="M8" i="1" s="1"/>
  <c r="D11" i="32" l="1"/>
  <c r="O56" i="1"/>
  <c r="O25" i="1"/>
  <c r="G24" i="32"/>
  <c r="O77" i="1"/>
  <c r="O85" i="1"/>
  <c r="O59" i="1"/>
  <c r="O38" i="1"/>
  <c r="O44" i="1"/>
  <c r="O75" i="1"/>
  <c r="O9" i="1"/>
  <c r="O14" i="1"/>
  <c r="O35" i="1"/>
  <c r="O43" i="1"/>
  <c r="O50" i="1"/>
  <c r="O22" i="1"/>
  <c r="O36" i="1"/>
  <c r="G49" i="1"/>
  <c r="I49" i="1" s="1"/>
  <c r="O42" i="1"/>
  <c r="O70" i="1"/>
  <c r="O71" i="1"/>
  <c r="G9" i="1"/>
  <c r="I9" i="1" s="1"/>
  <c r="G18" i="1"/>
  <c r="I18" i="1" s="1"/>
  <c r="O33" i="1"/>
  <c r="O41" i="1"/>
  <c r="G47" i="1"/>
  <c r="I47" i="1" s="1"/>
  <c r="O80" i="1"/>
  <c r="G38" i="1"/>
  <c r="I38" i="1" s="1"/>
  <c r="G56" i="1"/>
  <c r="I56" i="1" s="1"/>
  <c r="G57" i="1"/>
  <c r="I57" i="1" s="1"/>
  <c r="G20" i="1"/>
  <c r="I20" i="1" s="1"/>
  <c r="G37" i="1"/>
  <c r="I37" i="1" s="1"/>
  <c r="G50" i="1"/>
  <c r="I50" i="1" s="1"/>
  <c r="L18" i="1"/>
  <c r="N60" i="1"/>
  <c r="N90" i="1" s="1"/>
  <c r="O13" i="1"/>
  <c r="F45" i="1"/>
  <c r="M45" i="1" s="1"/>
  <c r="O45" i="1" s="1"/>
  <c r="G58" i="1"/>
  <c r="I58" i="1" s="1"/>
  <c r="G67" i="1"/>
  <c r="I67" i="1" s="1"/>
  <c r="G11" i="1"/>
  <c r="I11" i="1" s="1"/>
  <c r="G17" i="1"/>
  <c r="I17" i="1" s="1"/>
  <c r="O12" i="1"/>
  <c r="G14" i="1"/>
  <c r="I14" i="1" s="1"/>
  <c r="G52" i="1"/>
  <c r="I52" i="1" s="1"/>
  <c r="G53" i="1"/>
  <c r="I53" i="1" s="1"/>
  <c r="G59" i="1"/>
  <c r="I59" i="1" s="1"/>
  <c r="G85" i="1"/>
  <c r="I85" i="1" s="1"/>
  <c r="G89" i="1"/>
  <c r="I89" i="1" s="1"/>
  <c r="O32" i="1"/>
  <c r="O87" i="1"/>
  <c r="G10" i="1"/>
  <c r="I10" i="1" s="1"/>
  <c r="M10" i="1"/>
  <c r="O10" i="1" s="1"/>
  <c r="G21" i="1"/>
  <c r="I21" i="1" s="1"/>
  <c r="O8" i="1"/>
  <c r="L22" i="1"/>
  <c r="G22" i="1"/>
  <c r="I22" i="1" s="1"/>
  <c r="L54" i="1"/>
  <c r="G54" i="1"/>
  <c r="I54" i="1" s="1"/>
  <c r="E8" i="1"/>
  <c r="L31" i="1"/>
  <c r="G31" i="1"/>
  <c r="I31" i="1" s="1"/>
  <c r="O54" i="1"/>
  <c r="O66" i="1"/>
  <c r="L78" i="1"/>
  <c r="D11" i="7"/>
  <c r="F24" i="1"/>
  <c r="D9" i="26"/>
  <c r="D11" i="26" s="1"/>
  <c r="D11" i="30"/>
  <c r="H60" i="1"/>
  <c r="F46" i="1"/>
  <c r="D9" i="46"/>
  <c r="D11" i="46" s="1"/>
  <c r="G69" i="1"/>
  <c r="I69" i="1" s="1"/>
  <c r="L69" i="1"/>
  <c r="L9" i="1"/>
  <c r="L10" i="1"/>
  <c r="L21" i="1"/>
  <c r="D9" i="36"/>
  <c r="D11" i="36" s="1"/>
  <c r="F78" i="1"/>
  <c r="M78" i="1" s="1"/>
  <c r="O78" i="1" s="1"/>
  <c r="H82" i="1"/>
  <c r="H90" i="1" s="1"/>
  <c r="D11" i="50"/>
  <c r="G12" i="1"/>
  <c r="I12" i="1" s="1"/>
  <c r="G13" i="1"/>
  <c r="I13" i="1" s="1"/>
  <c r="L13" i="1"/>
  <c r="G43" i="1"/>
  <c r="I43" i="1" s="1"/>
  <c r="G44" i="1"/>
  <c r="I44" i="1" s="1"/>
  <c r="L44" i="1"/>
  <c r="G19" i="1"/>
  <c r="I19" i="1" s="1"/>
  <c r="L19" i="1"/>
  <c r="G70" i="1"/>
  <c r="I70" i="1" s="1"/>
  <c r="L70" i="1"/>
  <c r="O72" i="1"/>
  <c r="G82" i="1"/>
  <c r="D11" i="18"/>
  <c r="D9" i="25"/>
  <c r="D11" i="25" s="1"/>
  <c r="E23" i="1"/>
  <c r="F28" i="1"/>
  <c r="D9" i="29"/>
  <c r="D11" i="29" s="1"/>
  <c r="G25" i="1"/>
  <c r="I25" i="1" s="1"/>
  <c r="G32" i="1"/>
  <c r="I32" i="1" s="1"/>
  <c r="G33" i="1"/>
  <c r="I33" i="1" s="1"/>
  <c r="G35" i="1"/>
  <c r="I35" i="1" s="1"/>
  <c r="G36" i="1"/>
  <c r="I36" i="1" s="1"/>
  <c r="E90" i="1"/>
  <c r="E24" i="32"/>
  <c r="L37" i="1"/>
  <c r="L38" i="1"/>
  <c r="L66" i="1"/>
  <c r="G14" i="44"/>
  <c r="G15" i="44" s="1"/>
  <c r="J43" i="1" s="1"/>
  <c r="J60" i="1" s="1"/>
  <c r="G27" i="1"/>
  <c r="I27" i="1" s="1"/>
  <c r="G30" i="1"/>
  <c r="I30" i="1" s="1"/>
  <c r="G42" i="1"/>
  <c r="I42" i="1" s="1"/>
  <c r="G71" i="1"/>
  <c r="I71" i="1" s="1"/>
  <c r="G84" i="1"/>
  <c r="I84" i="1" s="1"/>
  <c r="G45" i="1" l="1"/>
  <c r="I45" i="1" s="1"/>
  <c r="G78" i="1"/>
  <c r="I78" i="1" s="1"/>
  <c r="F90" i="1"/>
  <c r="I82" i="1"/>
  <c r="G24" i="1"/>
  <c r="I24" i="1" s="1"/>
  <c r="M24" i="1"/>
  <c r="J90" i="1"/>
  <c r="L23" i="1"/>
  <c r="L60" i="1" s="1"/>
  <c r="G23" i="1"/>
  <c r="G46" i="1"/>
  <c r="I46" i="1" s="1"/>
  <c r="M46" i="1"/>
  <c r="O46" i="1" s="1"/>
  <c r="E60" i="1"/>
  <c r="M28" i="1"/>
  <c r="O28" i="1" s="1"/>
  <c r="G28" i="1"/>
  <c r="I28" i="1" s="1"/>
  <c r="G8" i="1"/>
  <c r="I8" i="1" s="1"/>
  <c r="L8" i="1"/>
  <c r="F60" i="1"/>
  <c r="I90" i="1" l="1"/>
  <c r="I91" i="1" s="1"/>
  <c r="G90" i="1"/>
  <c r="O24" i="1"/>
  <c r="M60" i="1"/>
  <c r="M90" i="1" s="1"/>
  <c r="L90" i="1"/>
  <c r="I23" i="1"/>
  <c r="I60" i="1" s="1"/>
  <c r="I61" i="1" s="1"/>
  <c r="G60" i="1"/>
  <c r="O60" i="1" l="1"/>
  <c r="O9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Carmen</author>
  </authors>
  <commentList>
    <comment ref="N9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======
ID#AAABpOfQH_Y
Carmen    (2025-08-12 16:52:43)
1. 50 MIL VC 02/06/2025
2. 20 MIL VC 10/06/2025
3. 100 MIL VC 16/06/2025
4. 40 MIL VC 01/07/2025
5. 23,911.60 VC 08/07/2025
6. $ 61,273.88 VC 08/08/2055
7. $ 30 MIL VC 09/09/2025</t>
        </r>
      </text>
    </comment>
    <comment ref="N10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======
ID#AAABpOfQH_w
Carmen Villacorta    (2025-08-12 16:52:43)
1. INDIRECTOS $ DOS MILLONES Y MEDIO VC 17/07/2024
2. INDIRECTOS $ 250 MIL VC 17/09/2024
3. INDIRECTOS UN MILLON VC 15/10/204
4. INDIRECTOS $ 800,478.00 VC 30/10/2024
5. INDIRECTOS $ 100 MIL VC 23/12/2024
6. INDIRECTOS $ 951,087.87 VC 22/04/2025
7. INDIRECTOS $ 50 MIL VC 02/06/2025
8. INDIRECTOS $ 20 MIL VC 10/06/2025
9. INDIRECTOS $ 200 MIL VC 16/06/2025
10. INDIRECTOS $ 500 MIL VC 19/08/2025
11. INDIRECTOS $ 221,786.93 VC 09/09/2025
12. INDIRECTOS $ 500 MIL VC 15/09/2025</t>
        </r>
      </text>
    </comment>
    <comment ref="N1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======
ID#AAABpOfQIBQ
Carmen Villacorta    (2025-08-12 16:52:44)
1. INDIRECTOS
2. INDIRECTOS $ 200 MIL 17/08/2023
3. INDIRECTOS $ 200 MIL 13/11/2023
4. INDIRECTOS $ 100 MIL 01/12/2023
5. INDIRECTOS $ 350 MIL VC 13/12/2023
6. INDIRECTOS $ 593,340.98 VC 15/01/2024
7. INDIRECTOS $ 250 MIL VC 24/05/2024
8. INDIRECTOS $ 20MIL VC 10/06/2025
9. INDIRECTOS $ 100 MIL VC 16/06/2025</t>
        </r>
      </text>
    </comment>
    <comment ref="N13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======
ID#AAABpOfQIA4
Carmen Villacorta    (2025-08-12 16:52:44)
1. $ 25,147.35 INDIRECTOS VC 10/02/2025
2. $ 86,656.20
INDIRECTOS VC 24/02/2025
3. 50 MIL INDIRECTOS VC 02062025
4. 100 MIL INDIRECTOS VC 22/07/2025
5. 70 MIL INDIRECTOS VC 19/08/2025</t>
        </r>
      </text>
    </comment>
    <comment ref="N14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======
ID#AAABpOfQIAE
Carmen    (2025-08-12 16:52:43)
1. 50 MIL INDIRECTOS 22/07/2025
2. 30,313.00 INDIRECTOS 19/08/2025
3. $ 18,046.60 INDIRECTOS 06/10/2025</t>
        </r>
      </text>
    </comment>
    <comment ref="N17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======
ID#AAABpOfQH_c
Carmen    (2025-08-12 16:52:43)
1. 100 MIL VC 01/07/2025</t>
        </r>
      </text>
    </comment>
    <comment ref="N18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======
ID#AAABpOfQH_M
Carmen    (2025-08-12 16:52:43)
1. 90 MIL INDIRECTOS VC 22/07/2025</t>
        </r>
      </text>
    </comment>
    <comment ref="N20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======
ID#AAABpOfQIAY
Carmen Villacorta    (2024-06-20 18:00:06)
1. 400 MIL INDIRECTOS VC 14/05/2024</t>
        </r>
      </text>
    </comment>
    <comment ref="N21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======
ID#AAABpOfQH_A
Carmen    (2025-08-12 16:52:43)
1. $ 152,118.43 INDIRECTOS VC 11/08/2025</t>
        </r>
      </text>
    </comment>
    <comment ref="N22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 xml:space="preserve">======
ID#AAABpOfQIA8
Carmen Villacorta    (2025-08-12 16:52:44)
1. 150 MIL INDIRECTOS VC 06/01/2025
2. INDIRECTOS VC 04/02/2025
3. 500 MIL INDIRECTOS VC 17/02/2025
4. 1,500,000.00 INDIRECTOS VC 22/04/2025
5. 25,157.60 INDIRECTOS VC 02062025
6. 20 MIL INDIRECTOS VC 10/06/2025
7. 50 MIL INDIRECTOS VC 22/07/2025
8. 50 MIL INIDRECTOS
9. 250 MIL INDIRECTOS VC 30/09/2025
</t>
        </r>
      </text>
    </comment>
    <comment ref="N24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======
ID#AAABpOfQH-s
Carmen    (2025-08-12 16:52:43)
1. 50 MIL INDIRECTOS VC 22/07/2025
2. 8,289.00 INDIRECTOS VC 19/08/2025</t>
        </r>
      </text>
    </comment>
    <comment ref="N25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======
ID#AAABpOfQH_Q
Carmen Villacorta    (2025-08-12 16:52:43)
1. INDIRECTOS
2. INDIRECTOS
3. INDIRECTOS</t>
        </r>
      </text>
    </comment>
    <comment ref="N27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======
ID#AAABpOfQIBU
Carmen Villacorta    (2024-06-20 18:00:06)
1. INDIRECTOS $ 1,160,000.00 VC 08/12/2023
SE MODIFICO A $ 160 MIL   VC 09/12/2024
2. INDIRECTOS $ 100 MIL VC 15/09/2025</t>
        </r>
      </text>
    </comment>
    <comment ref="N28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======
ID#AAABpOfQH_0
Carmen Villacorta    (2024-06-20 18:00:06)
1. $ 1,500,000.00 INDIRECTOS 15/11/2023
2. $ 1,160,000.00 INDIRECTOS VC 08/12/2023
3. $ 200 MIL INDRECTOS VC 16/06/2025</t>
        </r>
      </text>
    </comment>
    <comment ref="N30" authorId="1" shapeId="0" xr:uid="{F26FC789-A200-4FCD-A91E-1C2A4121788D}">
      <text>
        <r>
          <rPr>
            <b/>
            <sz val="9"/>
            <color indexed="81"/>
            <rFont val="Tahoma"/>
            <family val="2"/>
          </rPr>
          <t>Carmen: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RESIDENCIAL</t>
        </r>
        <r>
          <rPr>
            <sz val="9"/>
            <color indexed="81"/>
            <rFont val="Tahoma"/>
            <family val="2"/>
          </rPr>
          <t xml:space="preserve">
1. INDIRECTOS
2. INDIRECTOS
3. INDIRECTOS
4. $ 150 MIL INDIRECTOS 24/08/2023
5. $ 700 MIL INDRECTOS 19/09/2023
6. $ 430 MIL INDIRECTOS 18/10223
7. $ 500 MIL INDIRECTOS 31/10/2023
8. $ 400 MIL INDIRECTOS VC 30/11/2023
9. $ 250 MIL INDIRECTOS VC 04/12/2023
10. $ 1,686,490.91 INDIRECTOS VC 15/01/2024
11. $ 1,000,000.00 INDIRECTOS VC 13/02/2024
12. $ 450 MIL INDIRECTOS VC 29/04/2024
13. $ 200 MIL INDIRECTOS VC 14/05/2024
14. $ 500 MIL INDIRECTOS VC 21/05/2024 
15. $ 1,000,000.00 INDIRECTOS VC 12/06/2024
16. $ 100 MIL INDIRECTOS VC 23/12/2024
17. $ 20MIL INDIRECTOS VC 10/06/2025
18. $ 100 MIL INDIRECTOS VC 16/06/2025
19. 175,526.35 INDIRECTOS VC 19/08/2025
</t>
        </r>
        <r>
          <rPr>
            <b/>
            <sz val="9"/>
            <color indexed="81"/>
            <rFont val="Tahoma"/>
            <family val="2"/>
          </rPr>
          <t xml:space="preserve">COMERCIO
</t>
        </r>
        <r>
          <rPr>
            <sz val="9"/>
            <color indexed="81"/>
            <rFont val="Tahoma"/>
            <family val="2"/>
          </rPr>
          <t>20. 100 MIL INDIRECTOS VC 16/06/2025
21 400 MIL INDIRECTOS VC 15/09/2025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N3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======
ID#AAABpOfQIA0
Carmen Villacorta    (2025-08-12 16:52:44)
1. 200 MIL INDIRECTOS VC 23/12/2024 I</t>
        </r>
        <r>
          <rPr>
            <b/>
            <sz val="11"/>
            <color theme="1"/>
            <rFont val="Calibri"/>
            <family val="2"/>
            <scheme val="minor"/>
          </rPr>
          <t>NTERIORES</t>
        </r>
        <r>
          <rPr>
            <sz val="11"/>
            <color theme="1"/>
            <rFont val="Calibri"/>
            <family val="2"/>
            <scheme val="minor"/>
          </rPr>
          <t xml:space="preserve">
1. 500 MIL INDIRECTOS VC 17/02/2025 </t>
        </r>
        <r>
          <rPr>
            <b/>
            <sz val="11"/>
            <color theme="1"/>
            <rFont val="Calibri"/>
            <family val="2"/>
            <scheme val="minor"/>
          </rPr>
          <t>RESIDENCIAL</t>
        </r>
      </text>
    </comment>
    <comment ref="N32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======
ID#AAABpOfQIAQ
Carmen Villacorta    (2024-06-20 18:00:06)
1. INDIRECTOS $ 1,500,000.00 VC 22/04/2024
2. INDIRECTOS $ 400 MIL VC 29/04/2024
3. INDIRECTOS $ 500 MIL VC 21/05/2024</t>
        </r>
      </text>
    </comment>
    <comment ref="N33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======
ID#AAABpOfQH_8
Carmen    (2025-08-12 16:52:43)
1. 100 MIL INDIRECTOS VC 16/06/2025
2. 100 MIL INDIRECTOS VC 22/07/2025
3. 100 MIL INDIRECTOS VC 19/08/2025
4. 17,597.19 INDIRECTOS VC 30/09/2025</t>
        </r>
      </text>
    </comment>
    <comment ref="N35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======
ID#AAABpOfQIAc
Carmen Villacorta    (2024-06-20 18:00:06)
1. 100 MIL INDIRECTOS VC 14/05/2024
2. 150 MIL INDIRECTOS VC 23/12/2024</t>
        </r>
      </text>
    </comment>
    <comment ref="N36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======
ID#AAABpOfQIAk
    (2025-08-12 16:52:44)
Carmen Villacorta 
1. INDIRECTOS
2. INDIRECTOS
3. INDIRECTOS
4. INDIRECTOS
5. INDIRECTOS
6. INDIRECTOS
7. INDIRECTOS $ 200 MIL 17/08/2023
8. INDIRECTOS $90 MIL 30/08/2023
9. INDIRECTOS $ 400 MIL 08/09/2023
10. INDIRECTOS $300 MIL 14/09/2023
11. INDIRECTOS $ 50 MIL 18/09/2023
12. INDIRECTOS $ 37,935.04 02/10/2023</t>
        </r>
      </text>
    </comment>
    <comment ref="N38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======
ID#AAABpOfQH_g
Carmen Villacorta    (2024-06-20 18:00:06)
1. $150 MIL INDIRECTOS 17/08/2023
2. $ 500 MIL INDIRECTOS 24/08/2023
3. $ 900 MIL INDIRECTOS 13/10/2023
4. $ 200 MIL INDIRECTOS 07/11/2023
5. $46,809.20 INDIRECTOS VC 15/01/2024
6.  $ 200 MIL INDIRECTOS VC 24/05/2024
7.  $ 500 MIL INDIRECTOS VC 24/06/2024
8. $ 400 MIL INDIRECTOS VC 15/10/204
9. $ 500 MIL INDIRECTOS VC 23/12/2024
10. $ UN MILLON INDIRECTOS VC 17/02/2025
11. $ 904,961.13 INDIRECTOS VC 21052025 WHATSS VERO
12 $ 50 MIL INDIRECTOS VC 22/07/2025
13 $ 10 MIL INDIRECTOS VC 19/08/2025
14 $ 700 MIL INDIRECTOS VC 15/09/2025</t>
        </r>
      </text>
    </comment>
    <comment ref="N4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======
ID#AAABpOfQIAw
Carmen    (2025-08-12 16:52:44)
1. 20 MIL INIDRECTOS VC 10/06/2025
2. 50 MIL INDIRECTOS VC 16/06/2025</t>
        </r>
      </text>
    </comment>
    <comment ref="N42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======
ID#AAABpOfQIAM
    (2025-08-12 16:52:44)
Carmen Villacorta   
1. INDIRECTOS
2. INDIRECTOS
3. INDIRECTOS
4. INDIRECTOS 
5. INDIRECTOS 31/07/2023
6. PAGO A TAR 31/07/2023
7. INDIRECTOS $ 150MIL 17/08/2023
8. INDIRECTOS $ 600 MIL 29/082023
9. INDIRECTOS $100 MIL 14/09/2023
10. INDIRECTOS $ 500 MIL 18/09/2023
11. INDIRECTOS $ 189,235.15 05/10/2023
12 INDIRECTOS $ 1,500,000.00 19/02/2024
13. INDIRECTOS $ 400 MIL VC 19/03/2024 
14. INDIRECTOS $ 600 MIL VC 17/04/2024
15. INDIRECTOS $ 500 MIL VC 18/04/2024
16. INDIRECTOS $ 500 MIL VC 13/05/2024
17. INDIRECTOS $ 500 MIL VC 21/05/2024 
18. INDIRECTOS $ 500 MIL VC 07/06/2024 
19. INDIRECTOS $ 500 MIL VC 12/06/2024 
20. INDIRECTOS $ 500 MIL VC 24/06/2024 
21. $ 1 MILLON INDIRECTOS VC 17/09/2024
22. $ 500 MIL INDIRECTOS VC 15/10/204
23. INDIRECTOS $ 280 MIL WHATSS FINANZAS 27/05/2024
24. INDIRECTOS $ 100 MIL VC 16/06/2025</t>
        </r>
      </text>
    </comment>
    <comment ref="N43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======
ID#AAABpOfQIAg
Carmen    (2025-08-12 16:52:44)
1. $ 904,961.13 INDIRECTOS VC 21/05/2025 WHATSS VERO
2. $ 500 MIL INDIRECTOS 15/09/2025</t>
        </r>
      </text>
    </comment>
    <comment ref="N44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======
ID#AAABpOfQH_k
    (2025-08-12 16:52:43)
Carmen Villacorta 
1. INDIRECTOS $ 1,500,000.00 VC 23/01/2024</t>
        </r>
      </text>
    </comment>
    <comment ref="N45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======
ID#AAABpOfQH-Y
Carmen Villacorta    (2024-06-20 18:00:06)
1. $ 441,985.06 INDIRECTOS 31/10/2023
2. 1 MILLON INDIRECTOS VC 22/07/2025
3. 89,547.45 INDIRECTOS VC 30/07/2025</t>
        </r>
      </text>
    </comment>
    <comment ref="N50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======
ID#AAABpOfQIBY
Carmen Villacorta    (2025-08-12 16:52:44)
1. INDIRECTOS VC 21/08/2024
2. RANVER VC 21/08/2024
3. URMEN VC 21/08/2024
4. AT&amp;T AGOSTO VC 21/08/2024 
5. INIRECTOS $ 112,220.20 VC 14/01/2025
6. INDIRECTOS $ 481,201.16 VC 17/01/2025
7. INDIRECTOS $ 353,841.99 VC 28/04/2025
8. INDIRECTOS $ 328,283.48
9. INDIRECTOS $ 904,961.13 VC 21/05/2025 WHATSS VERO
10. INDIRECTOS $ 565,205.06
11. INDIRECTOS $ 353,194.62 VC 15/09/2025
12. INDIRECTOS $ 137,808.94 VC 13/10/2025</t>
        </r>
      </text>
    </comment>
    <comment ref="N5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ID#AAABpOfQIBc
Carmen Villacorta    (2025-08-12 16:52:44)
1. $ 373,776.25 INDIRECTOS 13/09/2024 (NOMINA Y SEQUITO)
2. $ 50,000.00  INDIRECTOS VC 16/06/2025
3. $ 100,000.00 INDIRECTOS VC 22/07/2025</t>
        </r>
      </text>
    </comment>
    <comment ref="N55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 xml:space="preserve">======
ID#AAABpOfQH-c
Carmen    (2025-08-12 16:52:43)
1. 50 MIL INDIRECTOS VC 23/06/2025
2. $ 9,928.00 INDIRECTOS VC 23/09/2025
</t>
        </r>
      </text>
    </comment>
    <comment ref="N56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======
ID#AAABpOfQH-k
Carmen Villacorta    (2024-06-20 18:00:06)
1. 250 MIL INDIRECTOS
2. 200 MIL INDIRECTOS VC 18/04/2024
3. 200 MIL INDIRECTOS VC 19/08/2025</t>
        </r>
      </text>
    </comment>
    <comment ref="N57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======
ID#AAABpOfQH-w
Carmen    (2025-08-12 16:52:43)
1. 100 MIL INDIRECTOS VC 22/07/2025</t>
        </r>
      </text>
    </comment>
    <comment ref="N59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======
ID#AAABpOfQIBE
Carmen    (2025-08-12 16:52:44)
1. $ 37,263.19 VC 16/06/2025</t>
        </r>
      </text>
    </comment>
    <comment ref="N66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======
ID#AAABpOfQIAI
Carmen    (2025-08-12 16:52:43)
1. 50 MIL VC 01/07/2025
2. 50 MIL INDIRECTOS VC 22/07/2025</t>
        </r>
      </text>
    </comment>
    <comment ref="N70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======
ID#AAABpOfQIAU
Carmen Villacorta    (2024-06-20 18:00:06)
1. 100 MIL USD INDIRECTOS VC 13/05/2024
2. 200 MIL MN INDIRECTOS VC 24/05/2024
3. 575 MIL MN INDIRECTOS VC 03/10/2024 (ANTES ED LIMPIEZA MOSO)
4. 500 MIL MN INDIRECTOS VC 06/01/2025
5. 773,193.43  MN INDIRECTOS VC 04/03/2025
6. 34,714.20 MN INDIRECTOS VC 10/03/2025
7. $2,059,168.13 MN INDIRECTOS VC 18/03/2025
8. $ 89,656.20 MN INDIRECTOS VC 25/03/2025
9. $ 636,568.55 MN INDIRECTOS VC 03042025
10. $378,169.27 MN INDIRECTOS VC 14/04/2025
11. $ 33,518.20 MN INDIRECTOS VC 13/05/2025
12. $ 179,579.22 INDIRECTOS VC 19/05/2025
13. $ 200 MIL INDIRECTOS VC 16/06/2025
14 $ 300 MIL INDIRECTOS VC 22/07/2025</t>
        </r>
      </text>
    </comment>
    <comment ref="N71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======
ID#AAABpOfQIAA
Carmen Villacorta    (2024-06-20 18:00:06)
1. $ 71,369.00 INDIRECTOS VC 23/10/2023
2. $ 962.26 INDIRECTOS VC 15/01/2024</t>
        </r>
      </text>
    </comment>
    <comment ref="N72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======
ID#AAABpOfQH_I
Carmen Villacorta    (2024-06-20 18:00:06)
1. INIDRECTOS $ 50 MIL 31/08/2023
2. INDIRECTOS $ 200 MIL 26/09/2023
3. INDIRECTOS $ 100 MIL 28/09/2023
4 INDIRECTOS $ 15,533.02 05/10/2023
5 INDIRECTOS $ 100 MIL 03/11/2023
6. INDIRECTOS $100 MIL 13/11/2023
7. INDIRECTOS 8,053.72*17.50= $ 
VC 30/11/2023
8. INDIRECTOS  $ 250 MIL VC 17/09/204
9. INDIRECTOS $ 11,082.60 VC 23/10/2024</t>
        </r>
      </text>
    </comment>
    <comment ref="N74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======
ID#AAABpOfQH-4
Carmen Villacorta    (2025-08-12 16:52:43)
1. INDIRECTOS</t>
        </r>
      </text>
    </comment>
    <comment ref="N75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======
ID#AAABpOfQH_o
    (2025-08-12 16:52:43)
Carmen Villacorta  
1. INDIRECTOS
2. INDIRECTOS
3. INDIRECTOS
4. INDIRECTOS
5. INDIRECTOS
6. INDIRECTOS
7. INDIRECTOS
8. INDIRECTOS
9. $ 1 MILLON INDIRECTOS 07/08/2023
10. $ 2 MILLONES INDIRECTOS 17/08/2023</t>
        </r>
      </text>
    </comment>
    <comment ref="N77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======
ID#AAABpOfQH-g
Carmen Villacorta    (2024-06-20 18:00:06)
1. $ 1,500,000.00 VC 11/01/2024
2. $ 1,300,000.00 VC 18/01/2024
3. $ 500 MIL VC 19/02/2024
4. $ 500 MIL VC 27/02/2024
5. $ 500 MIL VC 22/04/2024
6. $ 600 MIL VC 29/04/2024
7. $ 2 MILLONES VC 24/06/2024
8. $ 1,012,745.41 VC 16/08/2024
9. $ 250 MIL INDIRECTOS VC 17/09/2024</t>
        </r>
      </text>
    </comment>
    <comment ref="N78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======
ID#AAABpOfQH_U
Carmen Villacorta    (2024-06-20 18:00:06)
1. 150 MIL INDIRECTOS VC 23/10/2023
2. $146,868.00 INDIRECTOS VC 05/12/2023
3. $ 100 MIL INDIRECTOS VC 15/01/2024</t>
        </r>
      </text>
    </comment>
    <comment ref="N80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======
ID#AAABpOfQH_4
Carmen    (2025-08-12 16:52:43)
1. 100 MIL INDIRECTOS VC 16062025
2. $ 57,684.67 INDIRECTOS VC 23/06/2025</t>
        </r>
      </text>
    </comment>
    <comment ref="N85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======
ID#AAABpOfQH_s
Carmen Villacorta    (2024-06-20 18:00:06)
1. $ 18,207.40 INDIRECTOS VC 23/10/2023
2. $ 100 MIL INDIRECTOS VC 16/06/2025</t>
        </r>
      </text>
    </comment>
    <comment ref="C86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======
ID#AAABpOfQIAo
Carmen Villacorta    (2024-06-20 18:00:06)
FDO MANCILLA ENTREGARA SABANA DE CIERRE A ABRAHAM GALICIA
28/09/2022</t>
        </r>
      </text>
    </comment>
    <comment ref="N87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======
ID#AAABpOfQIBA
Carmen Villacorta    (2024-06-20 18:00:06)
1. INDIRECTOS $ 30 MIL 26/09/2023
2. INDIRECTOS $ 123,409.63 VC 23/10/2023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kb+ZESvDinoexz0gRHsLEYgWY/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0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======
ID#AAABpOfQIBI
Carmen Villacorta    (2025-08-12 16:52:44)
% INFORMO ANDRES LELO WHATSS 23012025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2eVNwpTBkViEuarDTHXuYqEE/ow=="/>
    </ext>
  </extLst>
</comments>
</file>

<file path=xl/sharedStrings.xml><?xml version="1.0" encoding="utf-8"?>
<sst xmlns="http://schemas.openxmlformats.org/spreadsheetml/2006/main" count="1518" uniqueCount="332">
  <si>
    <t>HEG DISEÑO E INSTALACION SA DE CV</t>
  </si>
  <si>
    <t>TABLA DE COBRANZA A CLIENTES</t>
  </si>
  <si>
    <t>OBRAS EN PROCESO</t>
  </si>
  <si>
    <t>INDIRECTOS</t>
  </si>
  <si>
    <t>N°</t>
  </si>
  <si>
    <t>PROYECTO</t>
  </si>
  <si>
    <t>CONTROL</t>
  </si>
  <si>
    <t>IMPORTE CONTRATADO</t>
  </si>
  <si>
    <t>IMPORTE COBRADO</t>
  </si>
  <si>
    <t>IMPORTE A COBRAR</t>
  </si>
  <si>
    <t>FONDO DE GARANTIA</t>
  </si>
  <si>
    <t>LIQUIDO POR COBRAR</t>
  </si>
  <si>
    <t xml:space="preserve"> FACTURAS POR COBRAR</t>
  </si>
  <si>
    <t>FACTOR</t>
  </si>
  <si>
    <t>ESPERADO</t>
  </si>
  <si>
    <t>COBRADO</t>
  </si>
  <si>
    <t>APLICADO</t>
  </si>
  <si>
    <t>COBRADO VS APLICADO</t>
  </si>
  <si>
    <t>AEROPUERTO VALLARTA</t>
  </si>
  <si>
    <t>00431</t>
  </si>
  <si>
    <t>AMORES 619</t>
  </si>
  <si>
    <t>00576</t>
  </si>
  <si>
    <t>BAHLAY 2024</t>
  </si>
  <si>
    <t>00442</t>
  </si>
  <si>
    <t>BAHLAY LAMINADOS HELFON</t>
  </si>
  <si>
    <t>00605</t>
  </si>
  <si>
    <t>BEITI</t>
  </si>
  <si>
    <t>00399</t>
  </si>
  <si>
    <t>CASA BOSQUE DE OLMOS</t>
  </si>
  <si>
    <t>00575</t>
  </si>
  <si>
    <t>CASA DIAZ</t>
  </si>
  <si>
    <t>00579</t>
  </si>
  <si>
    <t>COMISIONES TECNOVIDRIO DISTR. MOSO</t>
  </si>
  <si>
    <t>00614</t>
  </si>
  <si>
    <t>COMISIONES TECNOVIDRIO</t>
  </si>
  <si>
    <t>CONSTITUYENTES 7</t>
  </si>
  <si>
    <t>00607</t>
  </si>
  <si>
    <t>COSTAVENTURA GYM Y HERRAJES INOX</t>
  </si>
  <si>
    <t>00558</t>
  </si>
  <si>
    <t>EMPORIO ACAPULCO</t>
  </si>
  <si>
    <t>00448</t>
  </si>
  <si>
    <t>EMPORIO ACAPULCO TORRE RANCHO</t>
  </si>
  <si>
    <t>00606</t>
  </si>
  <si>
    <t>FAIRMONT ACAPULCO</t>
  </si>
  <si>
    <t>00556</t>
  </si>
  <si>
    <t>FLOW</t>
  </si>
  <si>
    <t>00189</t>
  </si>
  <si>
    <t>FLOW 2025</t>
  </si>
  <si>
    <t>00592</t>
  </si>
  <si>
    <t>GRAND HYATT CANCUN</t>
  </si>
  <si>
    <t>00266</t>
  </si>
  <si>
    <t>HOTEL COPACABANA</t>
  </si>
  <si>
    <t>00449</t>
  </si>
  <si>
    <t>JAIME NUNO</t>
  </si>
  <si>
    <t>00443</t>
  </si>
  <si>
    <t>LA MEXICANA / LB600 (CASETA)</t>
  </si>
  <si>
    <t>00323</t>
  </si>
  <si>
    <t>MARIANO ESCOBEDO</t>
  </si>
  <si>
    <t>00560</t>
  </si>
  <si>
    <t>MAURICIO CAPON</t>
  </si>
  <si>
    <t>00593</t>
  </si>
  <si>
    <t>MONTE AZUL 2024</t>
  </si>
  <si>
    <t>00561</t>
  </si>
  <si>
    <t>MONTES URALES</t>
  </si>
  <si>
    <t>00015</t>
  </si>
  <si>
    <t>MONTES URALES 2025</t>
  </si>
  <si>
    <t>00602</t>
  </si>
  <si>
    <t>NAARA</t>
  </si>
  <si>
    <t>00426</t>
  </si>
  <si>
    <t>NAARA PISO 2</t>
  </si>
  <si>
    <t>00624</t>
  </si>
  <si>
    <t>NAARA PISO 7</t>
  </si>
  <si>
    <t>00578</t>
  </si>
  <si>
    <t>NAARA PISO 9</t>
  </si>
  <si>
    <t>00588</t>
  </si>
  <si>
    <t>NUA INTERLOMAS (FASE I, II, III, IV, V)</t>
  </si>
  <si>
    <t>OCEAN CLUB INSTALACION</t>
  </si>
  <si>
    <t>´00554</t>
  </si>
  <si>
    <t>OCEAN CLUB MATERIALES</t>
  </si>
  <si>
    <t>00550</t>
  </si>
  <si>
    <t>PARALLEL</t>
  </si>
  <si>
    <t>00182</t>
  </si>
  <si>
    <t>PARALLEL 2025</t>
  </si>
  <si>
    <t>00589</t>
  </si>
  <si>
    <t>PARALLEL HOP</t>
  </si>
  <si>
    <t>00580</t>
  </si>
  <si>
    <t>PUERTA POLANCO 2025</t>
  </si>
  <si>
    <t>00590</t>
  </si>
  <si>
    <t>REFORMA 445</t>
  </si>
  <si>
    <t>00567</t>
  </si>
  <si>
    <t>TAXCO CUERNAVACA</t>
  </si>
  <si>
    <t>00564</t>
  </si>
  <si>
    <t>TORRE BOSQUES</t>
  </si>
  <si>
    <t>00620</t>
  </si>
  <si>
    <t>TORRE VIRREYES AUDITORIO</t>
  </si>
  <si>
    <t>00563</t>
  </si>
  <si>
    <t>VILLAS KANAI (CANCELERIA Y BAMBU)</t>
  </si>
  <si>
    <t>00427</t>
  </si>
  <si>
    <t>VILLAS KANAI 2025</t>
  </si>
  <si>
    <t>00581</t>
  </si>
  <si>
    <t>VOLCAN 150 2024</t>
  </si>
  <si>
    <t>00568</t>
  </si>
  <si>
    <t>WESTIN GUADALAJARA</t>
  </si>
  <si>
    <t>00594</t>
  </si>
  <si>
    <t>TOTAL</t>
  </si>
  <si>
    <t>OBRAS PENDIENTES DE COBRO:</t>
  </si>
  <si>
    <t>BANBAJIO</t>
  </si>
  <si>
    <t>00445</t>
  </si>
  <si>
    <t>CDI BEITI (BANAI)MUESTRA</t>
  </si>
  <si>
    <t>CASA HELFON LA PUNTA</t>
  </si>
  <si>
    <t>00413</t>
  </si>
  <si>
    <t>COLIMA 426</t>
  </si>
  <si>
    <t>00418</t>
  </si>
  <si>
    <t>DECK POLANCO</t>
  </si>
  <si>
    <t>00428</t>
  </si>
  <si>
    <t>EDITION  X-TREME</t>
  </si>
  <si>
    <t>00562</t>
  </si>
  <si>
    <t>EDITION KANAI</t>
  </si>
  <si>
    <t>00225</t>
  </si>
  <si>
    <t>EDITION LIMPIEZA MOSO (TC 17.5)</t>
  </si>
  <si>
    <t>00433</t>
  </si>
  <si>
    <t>GRAND HYATT CANCUN (CUARTO MUESTRA)</t>
  </si>
  <si>
    <t>JAIME FASJA</t>
  </si>
  <si>
    <t>00436</t>
  </si>
  <si>
    <t>LANDMARK GUADALAJARA MATERIALES</t>
  </si>
  <si>
    <t>00363</t>
  </si>
  <si>
    <t>LANDMARK PAGOS EN EFECTIVO</t>
  </si>
  <si>
    <t>S/C</t>
  </si>
  <si>
    <t>LANDMARK TIJUANA MATERIALES</t>
  </si>
  <si>
    <t>00439</t>
  </si>
  <si>
    <t>MIRALTA</t>
  </si>
  <si>
    <t>00157</t>
  </si>
  <si>
    <t>MONTE AZUL</t>
  </si>
  <si>
    <t>00381</t>
  </si>
  <si>
    <t>OCEAN CLUB GH101</t>
  </si>
  <si>
    <t>00601</t>
  </si>
  <si>
    <t>PARK PLAZA PUENTE PEATONAL</t>
  </si>
  <si>
    <t>00324</t>
  </si>
  <si>
    <t>ST. REGIS KANAI</t>
  </si>
  <si>
    <t>00343</t>
  </si>
  <si>
    <t>TERRAZA LILY WESTIN STA FE</t>
  </si>
  <si>
    <t>00424</t>
  </si>
  <si>
    <t>TORRE CHAPULTEPEC</t>
  </si>
  <si>
    <t>00569</t>
  </si>
  <si>
    <t>TORRE REFORMA MANTENIMIENTO</t>
  </si>
  <si>
    <t>00412</t>
  </si>
  <si>
    <t>VIDALTA 2803 (ALTAIRE)</t>
  </si>
  <si>
    <t>00573</t>
  </si>
  <si>
    <t>VILLA 103 CABO</t>
  </si>
  <si>
    <t>00365</t>
  </si>
  <si>
    <t>VILLA 111  CABO</t>
  </si>
  <si>
    <t>WESTIN SANTA FE SPA</t>
  </si>
  <si>
    <t>00269</t>
  </si>
  <si>
    <t>VIDALTA TORRE LUX</t>
  </si>
  <si>
    <t>00068</t>
  </si>
  <si>
    <t>COMPAÑÍA:</t>
  </si>
  <si>
    <t>CONCEPTO:</t>
  </si>
  <si>
    <t>FACTURAS PENDIENTES DE COBRO DEL PROYECTO AEROPUERTO VALLARTA</t>
  </si>
  <si>
    <t xml:space="preserve">FECHA: </t>
  </si>
  <si>
    <t>02 DE AGOSTO DEL 2024</t>
  </si>
  <si>
    <t>CONCEPTO</t>
  </si>
  <si>
    <t>IMPORTE</t>
  </si>
  <si>
    <t>CONTRATADO A LA FECHA</t>
  </si>
  <si>
    <t>POR COBRAR</t>
  </si>
  <si>
    <t>LQUIDO POR COBRAR</t>
  </si>
  <si>
    <t>FECHA</t>
  </si>
  <si>
    <t>N° FACTURA</t>
  </si>
  <si>
    <t>SALDO POR COBRAR</t>
  </si>
  <si>
    <t>FECHA DE PAGO</t>
  </si>
  <si>
    <t>FACTURAS PENDIENTES DE COBRO DEL PROYECTO BAHLAY 2024</t>
  </si>
  <si>
    <t>17 DE SEPTIEMBRE DEL 2025</t>
  </si>
  <si>
    <t>FACTURAS PENDIENTES DE COBRO DEL PROYECTO BAHLAY LAMINADOS HELFON</t>
  </si>
  <si>
    <t>13 DE JUNIO DEL 2025</t>
  </si>
  <si>
    <t>FACTURAS PENDIENTES DE COBRO DEL PROYECTO BANBAJIO 2024</t>
  </si>
  <si>
    <t>17 DE ENERO DEL 2025</t>
  </si>
  <si>
    <t>FACTURAS PENDIENTES DE COBRO DEL PROYECTO BEITI</t>
  </si>
  <si>
    <t>FONDO DE GARANTIA 3%</t>
  </si>
  <si>
    <t>EST 29</t>
  </si>
  <si>
    <t>FACTURAS PENDIENTES DE COBRO DEL PROYECTO BEITI MUESTRA</t>
  </si>
  <si>
    <t>FACTURAS PENDIENTES DE COBRO DEL PROYECTO CASA DIAZ</t>
  </si>
  <si>
    <t>25 DE AGOSTO DEL 2024</t>
  </si>
  <si>
    <t>FACTURAS PENDIENTES DE COBRO DEL PROYECTO COMISIONES TECNOVIDRIO</t>
  </si>
  <si>
    <t>FACTURAS PENDIENTES DE COBRO DEL PROYECTO CASA BOSQUE DE OLMOS</t>
  </si>
  <si>
    <t>27 DE ENERO DEL 2025</t>
  </si>
  <si>
    <t>FACTURAS PENDIENTES DE COBRO DEL PROYECTO COLIMA 426</t>
  </si>
  <si>
    <t>FACTURAS PENDIENTES DE COBRO DEL PROYECTO CONSTITUYENTES 7</t>
  </si>
  <si>
    <t>FACTURAS PENDIENTES DE COBRO DEL PROYECTO COSTAVENTURA GYM</t>
  </si>
  <si>
    <t>19 DE SEPTIEMBRE DEL 2025</t>
  </si>
  <si>
    <t>16 DE DICIEMBRE DEL 2024</t>
  </si>
  <si>
    <t>FACTURAS PENDIENTES DE COBRO DEL PROYECTO DECK POLANCO</t>
  </si>
  <si>
    <t>FACTURAS PENDIENTES DE COBRO DEL PROYECTO EDITION KANAI</t>
  </si>
  <si>
    <t>FONDO DE GARANTIA 5%</t>
  </si>
  <si>
    <t>FACTURAS PENDIENTES DE COBRO DEL PROYECTO EDITION LIMPIEZA MOSO</t>
  </si>
  <si>
    <t>16 DE AGOSTO DEL 2024</t>
  </si>
  <si>
    <t>EQ EN MN (TC 17.50)</t>
  </si>
  <si>
    <t>FACTURAS PENDIENTES DE COBRO DEL PROYECTO EDITION KANAI X-TREME</t>
  </si>
  <si>
    <t>13 DE MARZO DEL 2025</t>
  </si>
  <si>
    <t>FACTURAS PENDIENTES DE COBRO DEL PROYECTO EMPORIO ACAPULCO</t>
  </si>
  <si>
    <t>09 DE SEPTIEMBRE DEL 2025</t>
  </si>
  <si>
    <t>FONDO DE GARANTIA 10%</t>
  </si>
  <si>
    <t>FACTURAS PENDIENTES DE COBRO DEL PROYECTO FAIRMONT ACAPULCO</t>
  </si>
  <si>
    <t>18 DE SEPTIEMBRE DEL 2025</t>
  </si>
  <si>
    <t>FONDO DE GARANTIA 2%</t>
  </si>
  <si>
    <t>FACTURAS PENDIENTES DE COBRO DEL PROYECTO FLOW</t>
  </si>
  <si>
    <t>08 DE SEPTIEMBRE DEL 2025</t>
  </si>
  <si>
    <t>12 DE SEPTIEMBRE DEL 2025</t>
  </si>
  <si>
    <t>FACTURAS PENDIENTES DE COBRO DEL PROYECTO GRAND HYATT CANCUN</t>
  </si>
  <si>
    <t>29 DE AGOSTO DEL 2025</t>
  </si>
  <si>
    <t>FACTURAS PENDIENTES DE COBRO DEL PROYECTO HOTEL COPACABANA</t>
  </si>
  <si>
    <t>12 DESEPTIEMBRE DEL 2025</t>
  </si>
  <si>
    <t>5 PAGO 3 ADDENDUM</t>
  </si>
  <si>
    <t>FACTURAS PENDIENTES DE COBRO DEL PROYECTO JAIME NUNO</t>
  </si>
  <si>
    <t>FACTURAS PENDIENTES DE COBRO DEL PROYECTO LANDMARK GUADALAJARA RESIDENCIAL</t>
  </si>
  <si>
    <t>RESIDENCIAL</t>
  </si>
  <si>
    <t>FONDO DE GARANTIA 14.2%</t>
  </si>
  <si>
    <t>PERIODO</t>
  </si>
  <si>
    <t xml:space="preserve">EST 22 </t>
  </si>
  <si>
    <t>TE 20/10/2023</t>
  </si>
  <si>
    <t>02/09/2023 AL 08/09/2023</t>
  </si>
  <si>
    <t>FORMULO</t>
  </si>
  <si>
    <t>ING. CARMEN VILLACORTA</t>
  </si>
  <si>
    <t>FACTURAS PENDIENTES DE COBRO DEL PROYECTO LANDMARK GUADALAJARA COMERCIO</t>
  </si>
  <si>
    <t>30 DE JUNIO DEL 2025</t>
  </si>
  <si>
    <t>COMERCIO</t>
  </si>
  <si>
    <t xml:space="preserve">FONDO DE GARANTIA </t>
  </si>
  <si>
    <t>PROGRAMA DE PAGOS PARA EL PROYECTO LANDMARK TIJUANA RESIDENCIAL</t>
  </si>
  <si>
    <t>IMPORTE CON IVA</t>
  </si>
  <si>
    <t>MANO DE OBRA</t>
  </si>
  <si>
    <t>EST 22</t>
  </si>
  <si>
    <t>29/03/2025 AL 18/04/2025</t>
  </si>
  <si>
    <t>EST 23</t>
  </si>
  <si>
    <t>19/04/2025 AL 02/05/2025</t>
  </si>
  <si>
    <t>EST 24</t>
  </si>
  <si>
    <t>03/05/2025 AL 23/05/2025</t>
  </si>
  <si>
    <t>EST 25</t>
  </si>
  <si>
    <t>24/05/2025 AL 08/08/2025</t>
  </si>
  <si>
    <t>EST 26</t>
  </si>
  <si>
    <t>09/08/2025 AL 15/08/2025</t>
  </si>
  <si>
    <t>PENDIENTE</t>
  </si>
  <si>
    <t>EST 27</t>
  </si>
  <si>
    <t>16/08/2025 AL 05/09/2025</t>
  </si>
  <si>
    <t>ANTICIPO OC-01</t>
  </si>
  <si>
    <t>ANTICIPO OC-02</t>
  </si>
  <si>
    <t xml:space="preserve">ING. CARMEN VILLACORTA </t>
  </si>
  <si>
    <t>PROGRAMA DE PAGOS PARA EL PROYECTO LANDMARK TIJUANA INTERIORES</t>
  </si>
  <si>
    <t>INTERIORES</t>
  </si>
  <si>
    <t>EST 01</t>
  </si>
  <si>
    <t>EST 02</t>
  </si>
  <si>
    <t>24/05/2025 AL 13/06/2025</t>
  </si>
  <si>
    <t>EST 03</t>
  </si>
  <si>
    <t>14/06/2025 AL 20/06/2025</t>
  </si>
  <si>
    <t>EST 04</t>
  </si>
  <si>
    <t>21/06/2025 AL 27/06/2026</t>
  </si>
  <si>
    <t>EST 05</t>
  </si>
  <si>
    <t>28/06/2025 AL 04/07/2025</t>
  </si>
  <si>
    <t>EST 06</t>
  </si>
  <si>
    <t>05/07/2025 AL 18/07/2025</t>
  </si>
  <si>
    <t>EST 07</t>
  </si>
  <si>
    <t>19/07/2025 AL 15/08/2025</t>
  </si>
  <si>
    <t>FACTURAS PENDIENTES DE COBRO DEL PROYECTO MARIANO ESCOBEDO 350</t>
  </si>
  <si>
    <t>11 DE JULIO DEL 2025</t>
  </si>
  <si>
    <t>FACTURAS PENDIENTES DE COBRO DEL PROYECTO MAURICIO CAPON</t>
  </si>
  <si>
    <t>09 DE ABRIL DEL 2025</t>
  </si>
  <si>
    <t>FACTURAS PENDIENTES DE COBRO DEL PROYECTO MIRALTA</t>
  </si>
  <si>
    <t>FACTURAS PENDIENTES DE COBRO DEL PROYECTO MONTE AZUL 2024</t>
  </si>
  <si>
    <t>06 DE MAYO DEL 2025</t>
  </si>
  <si>
    <t>FACTURAS PENDIENTES DE COBRO DEL PROYECTO MONTES URALES</t>
  </si>
  <si>
    <t>ULTIMO PAGO</t>
  </si>
  <si>
    <t>FACTURAS PENDIENTES DE COBRO DEL PROYECTO MONTES URALES 2025</t>
  </si>
  <si>
    <t>FACTURAS PENDIENTES DE COBRO DEL PROYECTO NAARA</t>
  </si>
  <si>
    <t>FACTURAS PENDIENTES DE COBRO DEL PROYECTO NAARA PISO 2</t>
  </si>
  <si>
    <t>FACTURAS PENDIENTES DE COBRO DEL PROYECTO NUA INTERLOMAS</t>
  </si>
  <si>
    <t>18 DE AGOSTO DEL 2025</t>
  </si>
  <si>
    <t>FACTURAS PENDIENTES DE COBRO DEL PROYECTO OCEAN CLUB MATERIALES</t>
  </si>
  <si>
    <t>FACTURAS PENDIENTES DE COBRO DEL PROYECTO OCEAN CLUB INSTALACION</t>
  </si>
  <si>
    <t>10 DE SEPTIEMBRE DEL 2025</t>
  </si>
  <si>
    <t>SDO 4186</t>
  </si>
  <si>
    <t xml:space="preserve">6 PAGO </t>
  </si>
  <si>
    <t>FACTURAS PENDIENTES DE COBRO DEL PROYECTO PARALLEL</t>
  </si>
  <si>
    <t>25 DE JUNIO DEL 2025</t>
  </si>
  <si>
    <t>FACTURAS PENDIENTES DE COBRO DEL PROYECTO PARALLEL 2025</t>
  </si>
  <si>
    <t>FACTURAS PENDIENTES DE COBRO DEL PROYECTO PARALLEL HOP</t>
  </si>
  <si>
    <t>30 DE ABRIL DEL 2025</t>
  </si>
  <si>
    <t>FACTURAS PENDIENTES DE COBRO DEL PROYECTO PUERTA POLANCO</t>
  </si>
  <si>
    <t>FACTURAS PENDIENTES DE COBRO DEL PROYECTO REFORMA 445</t>
  </si>
  <si>
    <t>FACTURAS PENDIENTES DE COBRO DEL PROYECTO ST REGIS</t>
  </si>
  <si>
    <t>RECIBOS PENDIENTES DE COBRO DEL PROYECTO TAXCO CUERNAVACA</t>
  </si>
  <si>
    <t>22 DE ENERO DEL 2025</t>
  </si>
  <si>
    <t>RECIBOS PENDIENTES DE COBRO DEL PROYECTO TORRE BOSQUES</t>
  </si>
  <si>
    <t>RECIBOS PENDIENTES DE COBRO DEL PROYECTO TORRE CHAPULTEPEC</t>
  </si>
  <si>
    <t>FACTURAS PENDIENTES DE COBRO DEL PROYECTO TORRE REFORMA MANTENIMIENTO</t>
  </si>
  <si>
    <t>25 DE AGOSTO DEL 2025</t>
  </si>
  <si>
    <t xml:space="preserve">SUMINISTRO Y COLOCACION DE CRISTAL DAÑADO </t>
  </si>
  <si>
    <t>FACTURAS PENDIENTES DE COBRO DEL PROYECTO TORRE VIRREYES 2023</t>
  </si>
  <si>
    <t>FACTURAS PENDIENTES DE COBRO DEL PROYECTO VIDALTA TORRE LUX</t>
  </si>
  <si>
    <t>04 DE MARZO DEL 2024</t>
  </si>
  <si>
    <t>FACTURAS PENDIENTES DE COBRO DEL PROYECTO VILLAS KANAI</t>
  </si>
  <si>
    <t>08 DE ABRIL DEL 2025</t>
  </si>
  <si>
    <t>FACTURAS PENDIENTES DE COBRO DEL PROYECTO VILLAS KANAI 2025</t>
  </si>
  <si>
    <t>28 DE JULIO DEL 2025</t>
  </si>
  <si>
    <t>FACTURAS PENDIENTES DE COBRO DEL PROYECTO VOLCAN 150 2024</t>
  </si>
  <si>
    <t>FACTURAS PENDIENTES DE COBRO DEL PROYECTO WESTIN GUADALAJARA</t>
  </si>
  <si>
    <t>20 DE MAYO DEL 2025</t>
  </si>
  <si>
    <t>23 DE SEPTIEMBRE DEL 2025</t>
  </si>
  <si>
    <t>EST 30</t>
  </si>
  <si>
    <t>23 DE SEPTIEMBRE DEL 2024</t>
  </si>
  <si>
    <t>00316</t>
  </si>
  <si>
    <t>MITIKAH</t>
  </si>
  <si>
    <t>29 DE SEPTIEMBRE DEL 2025</t>
  </si>
  <si>
    <t>FACTURAS PENDIENTES DE COBRO DEL PROYECTO MITIKAH</t>
  </si>
  <si>
    <t>30 DE SEPTIEMBRE DEL 2025</t>
  </si>
  <si>
    <t>ST REGIS PINTURA</t>
  </si>
  <si>
    <t>00619</t>
  </si>
  <si>
    <t>06 DE OCTUBRE DEL 2025</t>
  </si>
  <si>
    <t>GRAND HYATT CANCUN MOSO</t>
  </si>
  <si>
    <t>00623</t>
  </si>
  <si>
    <t>FACTURAS PENDIENTES DE COBRO DEL PROYECTO GRAND HYATT CANCUN MOSO</t>
  </si>
  <si>
    <t>FONDO DE GARANTIA %</t>
  </si>
  <si>
    <t>ANTICIPO 70%</t>
  </si>
  <si>
    <t>POPOCATEPETL 2025</t>
  </si>
  <si>
    <t>00618</t>
  </si>
  <si>
    <t>EST 28</t>
  </si>
  <si>
    <t>06/09/2025 AL 12/09/2025</t>
  </si>
  <si>
    <t>07 DE OCTUBRE DEL 2025</t>
  </si>
  <si>
    <t>FACTURAS PENDIENTES DE COBRO DEL PROYECTO AMORES</t>
  </si>
  <si>
    <t>10 DE OCTUBRE DEL 2025</t>
  </si>
  <si>
    <t>13 DE OCTUBRE DEL 2025</t>
  </si>
  <si>
    <t>LANDMARK GUADALAJARA CON VIATICOS</t>
  </si>
  <si>
    <t xml:space="preserve">LANDMARK TIJUANA </t>
  </si>
  <si>
    <t>00363/00415/ 00416</t>
  </si>
  <si>
    <t>00439/00446/'00571</t>
  </si>
  <si>
    <t>15 DE OCTUBRE DEL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</si>
</sst>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;[Red]\-&quot;$&quot;#,##0.00"/>
    <numFmt numFmtId="44" formatCode="_-&quot;$&quot;* #,##0.00_-;\-&quot;$&quot;* #,##0.00_-;_-&quot;$&quot;* &quot;-&quot;??_-;_-@_-"/>
    <numFmt numFmtId="164" formatCode="d/m/yyyy"/>
    <numFmt numFmtId="165" formatCode="_-&quot;$&quot;* #,##0.00_-;\-&quot;$&quot;* #,##0.00_-;_-&quot;$&quot;* &quot;-&quot;??_-;_-@"/>
    <numFmt numFmtId="166" formatCode="00000"/>
    <numFmt numFmtId="167" formatCode="_-[$USD]\ * #,##0.00_-;\-[$USD]\ * #,##0.00_-;_-[$USD]\ * &quot;-&quot;??_-;_-@"/>
    <numFmt numFmtId="168" formatCode="[$-1540A]dd\-mmm\-yy"/>
  </numFmts>
  <fonts count="2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9"/>
      <color rgb="FFFF0000"/>
      <name val="Arial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  <font>
      <b/>
      <sz val="9"/>
      <color theme="1"/>
      <name val="Arial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7"/>
        <bgColor theme="7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indexed="64"/>
      </patternFill>
    </fill>
  </fills>
  <borders count="4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0" fillId="0" borderId="0" applyFont="0" applyFill="0" applyBorder="0" applyAlignment="0" applyProtection="0"/>
  </cellStyleXfs>
  <cellXfs count="1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164" fontId="4" fillId="0" borderId="0" xfId="0" applyNumberFormat="1" applyFont="1" applyAlignment="1">
      <alignment horizontal="left"/>
    </xf>
    <xf numFmtId="165" fontId="2" fillId="0" borderId="0" xfId="0" applyNumberFormat="1" applyFont="1"/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49" fontId="2" fillId="0" borderId="8" xfId="0" applyNumberFormat="1" applyFont="1" applyBorder="1" applyAlignment="1">
      <alignment horizontal="center"/>
    </xf>
    <xf numFmtId="165" fontId="2" fillId="0" borderId="6" xfId="0" applyNumberFormat="1" applyFont="1" applyBorder="1"/>
    <xf numFmtId="165" fontId="2" fillId="0" borderId="9" xfId="0" applyNumberFormat="1" applyFont="1" applyBorder="1"/>
    <xf numFmtId="165" fontId="2" fillId="0" borderId="10" xfId="0" applyNumberFormat="1" applyFont="1" applyBorder="1"/>
    <xf numFmtId="165" fontId="2" fillId="0" borderId="11" xfId="0" applyNumberFormat="1" applyFont="1" applyBorder="1"/>
    <xf numFmtId="165" fontId="2" fillId="0" borderId="12" xfId="0" applyNumberFormat="1" applyFont="1" applyBorder="1"/>
    <xf numFmtId="165" fontId="2" fillId="0" borderId="7" xfId="0" applyNumberFormat="1" applyFont="1" applyBorder="1"/>
    <xf numFmtId="9" fontId="2" fillId="0" borderId="13" xfId="0" applyNumberFormat="1" applyFont="1" applyBorder="1" applyAlignment="1">
      <alignment horizontal="center"/>
    </xf>
    <xf numFmtId="165" fontId="2" fillId="0" borderId="14" xfId="0" applyNumberFormat="1" applyFont="1" applyBorder="1"/>
    <xf numFmtId="165" fontId="2" fillId="0" borderId="15" xfId="0" applyNumberFormat="1" applyFont="1" applyBorder="1"/>
    <xf numFmtId="0" fontId="2" fillId="0" borderId="9" xfId="0" applyFont="1" applyBorder="1"/>
    <xf numFmtId="0" fontId="2" fillId="0" borderId="16" xfId="0" quotePrefix="1" applyFont="1" applyBorder="1" applyAlignment="1">
      <alignment horizontal="center"/>
    </xf>
    <xf numFmtId="9" fontId="2" fillId="0" borderId="17" xfId="0" applyNumberFormat="1" applyFont="1" applyBorder="1" applyAlignment="1">
      <alignment horizontal="center"/>
    </xf>
    <xf numFmtId="165" fontId="2" fillId="0" borderId="18" xfId="0" applyNumberFormat="1" applyFont="1" applyBorder="1"/>
    <xf numFmtId="165" fontId="2" fillId="0" borderId="19" xfId="0" applyNumberFormat="1" applyFont="1" applyBorder="1"/>
    <xf numFmtId="0" fontId="2" fillId="0" borderId="20" xfId="0" applyFont="1" applyBorder="1"/>
    <xf numFmtId="49" fontId="2" fillId="0" borderId="16" xfId="0" applyNumberFormat="1" applyFont="1" applyBorder="1" applyAlignment="1">
      <alignment horizontal="center"/>
    </xf>
    <xf numFmtId="165" fontId="2" fillId="2" borderId="21" xfId="0" applyNumberFormat="1" applyFont="1" applyFill="1" applyBorder="1"/>
    <xf numFmtId="9" fontId="2" fillId="3" borderId="22" xfId="0" applyNumberFormat="1" applyFont="1" applyFill="1" applyBorder="1" applyAlignment="1">
      <alignment horizontal="center"/>
    </xf>
    <xf numFmtId="165" fontId="2" fillId="0" borderId="16" xfId="0" applyNumberFormat="1" applyFont="1" applyBorder="1"/>
    <xf numFmtId="165" fontId="8" fillId="0" borderId="23" xfId="0" applyNumberFormat="1" applyFont="1" applyBorder="1"/>
    <xf numFmtId="0" fontId="2" fillId="0" borderId="8" xfId="0" quotePrefix="1" applyFont="1" applyBorder="1" applyAlignment="1">
      <alignment horizontal="center"/>
    </xf>
    <xf numFmtId="9" fontId="2" fillId="0" borderId="22" xfId="0" applyNumberFormat="1" applyFont="1" applyBorder="1" applyAlignment="1">
      <alignment horizontal="center"/>
    </xf>
    <xf numFmtId="165" fontId="2" fillId="0" borderId="23" xfId="0" applyNumberFormat="1" applyFont="1" applyBorder="1"/>
    <xf numFmtId="9" fontId="2" fillId="0" borderId="24" xfId="0" applyNumberFormat="1" applyFont="1" applyBorder="1" applyAlignment="1">
      <alignment horizontal="center"/>
    </xf>
    <xf numFmtId="165" fontId="5" fillId="0" borderId="23" xfId="0" applyNumberFormat="1" applyFont="1" applyBorder="1"/>
    <xf numFmtId="49" fontId="2" fillId="3" borderId="25" xfId="0" applyNumberFormat="1" applyFont="1" applyFill="1" applyBorder="1" applyAlignment="1">
      <alignment horizontal="center"/>
    </xf>
    <xf numFmtId="0" fontId="2" fillId="0" borderId="20" xfId="0" applyFont="1" applyBorder="1" applyAlignment="1">
      <alignment horizontal="left"/>
    </xf>
    <xf numFmtId="165" fontId="2" fillId="0" borderId="20" xfId="0" applyNumberFormat="1" applyFont="1" applyBorder="1"/>
    <xf numFmtId="165" fontId="2" fillId="0" borderId="26" xfId="0" applyNumberFormat="1" applyFont="1" applyBorder="1" applyAlignment="1">
      <alignment horizontal="left"/>
    </xf>
    <xf numFmtId="0" fontId="2" fillId="0" borderId="8" xfId="0" applyFont="1" applyBorder="1"/>
    <xf numFmtId="49" fontId="2" fillId="0" borderId="27" xfId="0" applyNumberFormat="1" applyFont="1" applyBorder="1" applyAlignment="1">
      <alignment horizontal="center"/>
    </xf>
    <xf numFmtId="165" fontId="2" fillId="0" borderId="8" xfId="0" applyNumberFormat="1" applyFont="1" applyBorder="1"/>
    <xf numFmtId="165" fontId="2" fillId="0" borderId="26" xfId="0" applyNumberFormat="1" applyFont="1" applyBorder="1"/>
    <xf numFmtId="49" fontId="2" fillId="0" borderId="29" xfId="0" applyNumberFormat="1" applyFont="1" applyBorder="1" applyAlignment="1">
      <alignment horizontal="center"/>
    </xf>
    <xf numFmtId="9" fontId="2" fillId="4" borderId="28" xfId="0" applyNumberFormat="1" applyFont="1" applyFill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0" fontId="2" fillId="0" borderId="20" xfId="0" quotePrefix="1" applyFont="1" applyBorder="1" applyAlignment="1">
      <alignment horizontal="center"/>
    </xf>
    <xf numFmtId="165" fontId="2" fillId="0" borderId="30" xfId="0" applyNumberFormat="1" applyFont="1" applyBorder="1"/>
    <xf numFmtId="165" fontId="2" fillId="0" borderId="20" xfId="0" applyNumberFormat="1" applyFont="1" applyBorder="1" applyAlignment="1">
      <alignment horizontal="left"/>
    </xf>
    <xf numFmtId="165" fontId="2" fillId="0" borderId="31" xfId="0" applyNumberFormat="1" applyFont="1" applyBorder="1"/>
    <xf numFmtId="165" fontId="2" fillId="0" borderId="9" xfId="0" applyNumberFormat="1" applyFont="1" applyBorder="1" applyAlignment="1">
      <alignment horizontal="left"/>
    </xf>
    <xf numFmtId="9" fontId="2" fillId="0" borderId="32" xfId="0" applyNumberFormat="1" applyFont="1" applyBorder="1" applyAlignment="1">
      <alignment horizontal="center"/>
    </xf>
    <xf numFmtId="165" fontId="2" fillId="0" borderId="33" xfId="0" applyNumberFormat="1" applyFont="1" applyBorder="1"/>
    <xf numFmtId="165" fontId="2" fillId="0" borderId="34" xfId="0" applyNumberFormat="1" applyFont="1" applyBorder="1"/>
    <xf numFmtId="0" fontId="2" fillId="0" borderId="1" xfId="0" applyFont="1" applyBorder="1"/>
    <xf numFmtId="0" fontId="6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6" fillId="0" borderId="2" xfId="0" applyNumberFormat="1" applyFont="1" applyBorder="1" applyAlignment="1">
      <alignment horizontal="center"/>
    </xf>
    <xf numFmtId="165" fontId="6" fillId="0" borderId="3" xfId="0" applyNumberFormat="1" applyFont="1" applyBorder="1" applyAlignment="1">
      <alignment horizontal="center"/>
    </xf>
    <xf numFmtId="0" fontId="2" fillId="0" borderId="35" xfId="0" applyFont="1" applyBorder="1"/>
    <xf numFmtId="165" fontId="6" fillId="0" borderId="36" xfId="0" applyNumberFormat="1" applyFont="1" applyBorder="1"/>
    <xf numFmtId="165" fontId="6" fillId="0" borderId="37" xfId="0" applyNumberFormat="1" applyFont="1" applyBorder="1"/>
    <xf numFmtId="165" fontId="6" fillId="0" borderId="0" xfId="0" applyNumberFormat="1" applyFont="1"/>
    <xf numFmtId="8" fontId="6" fillId="0" borderId="0" xfId="0" applyNumberFormat="1" applyFont="1"/>
    <xf numFmtId="0" fontId="6" fillId="0" borderId="0" xfId="0" applyFont="1"/>
    <xf numFmtId="0" fontId="2" fillId="0" borderId="26" xfId="0" applyFont="1" applyBorder="1" applyAlignment="1">
      <alignment horizontal="left"/>
    </xf>
    <xf numFmtId="165" fontId="2" fillId="0" borderId="6" xfId="0" applyNumberFormat="1" applyFont="1" applyBorder="1" applyAlignment="1">
      <alignment horizontal="left"/>
    </xf>
    <xf numFmtId="9" fontId="2" fillId="0" borderId="0" xfId="0" applyNumberFormat="1" applyFont="1" applyAlignment="1">
      <alignment horizontal="center"/>
    </xf>
    <xf numFmtId="0" fontId="2" fillId="0" borderId="8" xfId="0" applyFont="1" applyBorder="1" applyAlignment="1">
      <alignment horizontal="left"/>
    </xf>
    <xf numFmtId="165" fontId="6" fillId="0" borderId="1" xfId="0" applyNumberFormat="1" applyFont="1" applyBorder="1" applyAlignment="1">
      <alignment horizontal="center"/>
    </xf>
    <xf numFmtId="165" fontId="6" fillId="0" borderId="2" xfId="0" applyNumberFormat="1" applyFont="1" applyBorder="1"/>
    <xf numFmtId="165" fontId="6" fillId="0" borderId="3" xfId="0" applyNumberFormat="1" applyFont="1" applyBorder="1"/>
    <xf numFmtId="164" fontId="3" fillId="0" borderId="0" xfId="0" applyNumberFormat="1" applyFont="1" applyAlignment="1">
      <alignment horizontal="left"/>
    </xf>
    <xf numFmtId="0" fontId="6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164" fontId="3" fillId="0" borderId="38" xfId="0" applyNumberFormat="1" applyFont="1" applyBorder="1" applyAlignment="1">
      <alignment horizontal="left"/>
    </xf>
    <xf numFmtId="0" fontId="2" fillId="0" borderId="38" xfId="0" applyFont="1" applyBorder="1"/>
    <xf numFmtId="165" fontId="6" fillId="0" borderId="38" xfId="0" applyNumberFormat="1" applyFont="1" applyBorder="1"/>
    <xf numFmtId="0" fontId="3" fillId="0" borderId="4" xfId="0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2" xfId="0" applyNumberFormat="1" applyFont="1" applyBorder="1"/>
    <xf numFmtId="0" fontId="4" fillId="0" borderId="0" xfId="0" applyFont="1"/>
    <xf numFmtId="165" fontId="4" fillId="0" borderId="0" xfId="0" applyNumberFormat="1" applyFont="1"/>
    <xf numFmtId="165" fontId="2" fillId="0" borderId="36" xfId="0" applyNumberFormat="1" applyFont="1" applyBorder="1"/>
    <xf numFmtId="0" fontId="4" fillId="0" borderId="0" xfId="0" applyFont="1" applyAlignment="1">
      <alignment horizontal="left" wrapText="1"/>
    </xf>
    <xf numFmtId="165" fontId="4" fillId="0" borderId="36" xfId="0" applyNumberFormat="1" applyFont="1" applyBorder="1"/>
    <xf numFmtId="0" fontId="4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8" fontId="2" fillId="0" borderId="0" xfId="0" applyNumberFormat="1" applyFont="1"/>
    <xf numFmtId="0" fontId="2" fillId="0" borderId="0" xfId="0" applyFont="1" applyAlignment="1">
      <alignment horizontal="center"/>
    </xf>
    <xf numFmtId="165" fontId="2" fillId="0" borderId="2" xfId="0" applyNumberFormat="1" applyFont="1" applyBorder="1"/>
    <xf numFmtId="0" fontId="2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left"/>
    </xf>
    <xf numFmtId="0" fontId="4" fillId="0" borderId="2" xfId="0" applyFont="1" applyBorder="1"/>
    <xf numFmtId="165" fontId="2" fillId="0" borderId="39" xfId="0" applyNumberFormat="1" applyFont="1" applyBorder="1" applyAlignment="1">
      <alignment horizontal="center"/>
    </xf>
    <xf numFmtId="165" fontId="3" fillId="0" borderId="38" xfId="0" applyNumberFormat="1" applyFont="1" applyBorder="1"/>
    <xf numFmtId="0" fontId="3" fillId="0" borderId="0" xfId="0" applyFont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165" fontId="3" fillId="0" borderId="38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7" fontId="6" fillId="0" borderId="38" xfId="0" applyNumberFormat="1" applyFont="1" applyBorder="1"/>
    <xf numFmtId="0" fontId="6" fillId="0" borderId="0" xfId="0" applyFont="1" applyAlignment="1">
      <alignment horizontal="right"/>
    </xf>
    <xf numFmtId="167" fontId="4" fillId="0" borderId="36" xfId="0" applyNumberFormat="1" applyFont="1" applyBorder="1"/>
    <xf numFmtId="167" fontId="6" fillId="0" borderId="0" xfId="0" applyNumberFormat="1" applyFont="1"/>
    <xf numFmtId="165" fontId="2" fillId="0" borderId="39" xfId="0" applyNumberFormat="1" applyFont="1" applyBorder="1"/>
    <xf numFmtId="165" fontId="4" fillId="0" borderId="0" xfId="0" applyNumberFormat="1" applyFont="1" applyAlignment="1">
      <alignment horizontal="right"/>
    </xf>
    <xf numFmtId="165" fontId="9" fillId="0" borderId="0" xfId="0" applyNumberFormat="1" applyFont="1"/>
    <xf numFmtId="0" fontId="6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8" fontId="4" fillId="5" borderId="40" xfId="0" applyNumberFormat="1" applyFont="1" applyFill="1" applyBorder="1" applyAlignment="1">
      <alignment horizontal="center" vertical="center"/>
    </xf>
    <xf numFmtId="165" fontId="3" fillId="0" borderId="0" xfId="0" applyNumberFormat="1" applyFont="1"/>
    <xf numFmtId="0" fontId="4" fillId="0" borderId="38" xfId="0" applyFont="1" applyBorder="1"/>
    <xf numFmtId="165" fontId="4" fillId="0" borderId="36" xfId="0" applyNumberFormat="1" applyFont="1" applyBorder="1" applyAlignment="1">
      <alignment horizontal="right"/>
    </xf>
    <xf numFmtId="165" fontId="4" fillId="0" borderId="41" xfId="0" applyNumberFormat="1" applyFont="1" applyBorder="1"/>
    <xf numFmtId="165" fontId="2" fillId="0" borderId="36" xfId="0" applyNumberFormat="1" applyFont="1" applyBorder="1" applyAlignment="1">
      <alignment horizontal="center"/>
    </xf>
    <xf numFmtId="8" fontId="4" fillId="0" borderId="36" xfId="0" applyNumberFormat="1" applyFont="1" applyBorder="1"/>
    <xf numFmtId="165" fontId="4" fillId="0" borderId="42" xfId="0" applyNumberFormat="1" applyFont="1" applyBorder="1"/>
    <xf numFmtId="14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64" fontId="13" fillId="0" borderId="0" xfId="0" applyNumberFormat="1" applyFont="1" applyAlignment="1">
      <alignment horizontal="left"/>
    </xf>
    <xf numFmtId="0" fontId="14" fillId="0" borderId="0" xfId="0" applyFont="1"/>
    <xf numFmtId="165" fontId="10" fillId="0" borderId="29" xfId="0" applyNumberFormat="1" applyFont="1" applyBorder="1"/>
    <xf numFmtId="9" fontId="10" fillId="0" borderId="0" xfId="0" applyNumberFormat="1" applyFont="1" applyAlignment="1">
      <alignment horizontal="center"/>
    </xf>
    <xf numFmtId="165" fontId="10" fillId="0" borderId="0" xfId="0" applyNumberFormat="1" applyFont="1"/>
    <xf numFmtId="165" fontId="10" fillId="0" borderId="0" xfId="0" applyNumberFormat="1" applyFont="1" applyAlignment="1">
      <alignment horizontal="center"/>
    </xf>
    <xf numFmtId="165" fontId="15" fillId="0" borderId="23" xfId="0" applyNumberFormat="1" applyFont="1" applyBorder="1"/>
    <xf numFmtId="49" fontId="10" fillId="0" borderId="29" xfId="0" applyNumberFormat="1" applyFont="1" applyBorder="1" applyAlignment="1">
      <alignment horizontal="center"/>
    </xf>
    <xf numFmtId="9" fontId="10" fillId="0" borderId="28" xfId="0" applyNumberFormat="1" applyFont="1" applyBorder="1" applyAlignment="1">
      <alignment horizontal="center"/>
    </xf>
    <xf numFmtId="44" fontId="0" fillId="0" borderId="0" xfId="0" applyNumberFormat="1"/>
    <xf numFmtId="0" fontId="1" fillId="0" borderId="0" xfId="0" applyFont="1" applyAlignment="1">
      <alignment horizontal="center"/>
    </xf>
    <xf numFmtId="0" fontId="17" fillId="0" borderId="0" xfId="0" applyFont="1"/>
    <xf numFmtId="0" fontId="18" fillId="0" borderId="0" xfId="0" applyFont="1"/>
    <xf numFmtId="0" fontId="17" fillId="0" borderId="38" xfId="0" applyFont="1" applyBorder="1"/>
    <xf numFmtId="165" fontId="19" fillId="0" borderId="0" xfId="0" applyNumberFormat="1" applyFont="1"/>
    <xf numFmtId="14" fontId="4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2" fillId="0" borderId="42" xfId="0" applyNumberFormat="1" applyFont="1" applyBorder="1"/>
    <xf numFmtId="165" fontId="2" fillId="0" borderId="43" xfId="0" applyNumberFormat="1" applyFont="1" applyBorder="1"/>
    <xf numFmtId="9" fontId="2" fillId="0" borderId="28" xfId="0" applyNumberFormat="1" applyFont="1" applyBorder="1" applyAlignment="1">
      <alignment horizontal="center"/>
    </xf>
    <xf numFmtId="165" fontId="2" fillId="0" borderId="21" xfId="0" applyNumberFormat="1" applyFont="1" applyBorder="1"/>
    <xf numFmtId="0" fontId="0" fillId="0" borderId="44" xfId="0" quotePrefix="1" applyBorder="1" applyAlignment="1">
      <alignment horizontal="center"/>
    </xf>
    <xf numFmtId="165" fontId="16" fillId="0" borderId="23" xfId="0" applyNumberFormat="1" applyFont="1" applyBorder="1"/>
    <xf numFmtId="165" fontId="2" fillId="6" borderId="16" xfId="0" applyNumberFormat="1" applyFont="1" applyFill="1" applyBorder="1"/>
    <xf numFmtId="44" fontId="0" fillId="0" borderId="0" xfId="1" applyFont="1" applyFill="1"/>
    <xf numFmtId="9" fontId="6" fillId="0" borderId="1" xfId="0" applyNumberFormat="1" applyFont="1" applyBorder="1" applyAlignment="1">
      <alignment horizontal="center" vertical="center"/>
    </xf>
    <xf numFmtId="0" fontId="7" fillId="0" borderId="2" xfId="0" applyFont="1" applyBorder="1"/>
    <xf numFmtId="0" fontId="7" fillId="0" borderId="3" xfId="0" applyFon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customschemas.google.com/relationships/workbookmetadata" Target="metadata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7905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7715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7905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0</xdr:rowOff>
    </xdr:from>
    <xdr:ext cx="1104900" cy="800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81100" cy="7810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8286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8286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8382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8382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7143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8096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8286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819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819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8286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8286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8477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819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819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819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8477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7905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8096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1BDD6AC1-AF8F-40AA-B42A-C721EB543B7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04900" cy="762000"/>
        </a:xfrm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7524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66800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47775" cy="8286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47775" cy="8286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</xdr:rowOff>
    </xdr:from>
    <xdr:ext cx="1095375" cy="6858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"/>
          <a:ext cx="1095375" cy="685800"/>
        </a:xfrm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</xdr:rowOff>
    </xdr:from>
    <xdr:ext cx="1152525" cy="7048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"/>
          <a:ext cx="1152525" cy="704850"/>
        </a:xfrm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7715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8286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828675"/>
    <xdr:pic>
      <xdr:nvPicPr>
        <xdr:cNvPr id="2" name="image1.png">
          <a:extLst>
            <a:ext uri="{FF2B5EF4-FFF2-40B4-BE49-F238E27FC236}">
              <a16:creationId xmlns:a16="http://schemas.microsoft.com/office/drawing/2014/main" id="{37211189-E0B7-4DA9-AC51-36B490FE977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04900" cy="828675"/>
        </a:xfrm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8096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8477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33475" cy="819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33475" cy="7810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85850" cy="7905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133475" cy="7905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85850" cy="7905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133475" cy="7905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66800" cy="800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66800" cy="800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66800" cy="8286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819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819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8286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28575</xdr:rowOff>
    </xdr:from>
    <xdr:ext cx="1104900" cy="819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7715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819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7524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7524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7905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8286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8096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9175" cy="8286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9175" cy="828675"/>
    <xdr:pic>
      <xdr:nvPicPr>
        <xdr:cNvPr id="2" name="image1.png">
          <a:extLst>
            <a:ext uri="{FF2B5EF4-FFF2-40B4-BE49-F238E27FC236}">
              <a16:creationId xmlns:a16="http://schemas.microsoft.com/office/drawing/2014/main" id="{5F12D2AA-3BB9-4BEC-8E6C-91D5784DBC1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19175" cy="828675"/>
        </a:xfrm>
        <a:prstGeom prst="rect">
          <a:avLst/>
        </a:prstGeom>
        <a:noFill/>
      </xdr:spPr>
    </xdr:pic>
    <xdr:clientData fLocksWithSheet="0"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8096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7810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62050" cy="7524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8096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58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1004"/>
  <sheetViews>
    <sheetView tabSelected="1" zoomScale="110" zoomScaleNormal="110" workbookViewId="0">
      <pane ySplit="7" topLeftCell="A8" activePane="bottomLeft" state="frozen"/>
      <selection pane="bottomLeft" activeCell="C11" sqref="C11"/>
    </sheetView>
  </sheetViews>
  <sheetFormatPr baseColWidth="10" defaultColWidth="14.42578125" defaultRowHeight="15" customHeight="1" x14ac:dyDescent="0.25"/>
  <cols>
    <col min="1" max="1" width="3.85546875" customWidth="1"/>
    <col min="2" max="2" width="6.5703125" customWidth="1"/>
    <col min="3" max="3" width="37.85546875" customWidth="1"/>
    <col min="4" max="4" width="20.7109375" customWidth="1"/>
    <col min="5" max="5" width="23" customWidth="1"/>
    <col min="6" max="6" width="24.5703125" customWidth="1"/>
    <col min="7" max="7" width="24.28515625" customWidth="1"/>
    <col min="8" max="8" width="22.42578125" customWidth="1"/>
    <col min="9" max="10" width="23.42578125" customWidth="1"/>
    <col min="11" max="11" width="14.140625" customWidth="1"/>
    <col min="12" max="13" width="19" customWidth="1"/>
    <col min="14" max="14" width="18.5703125" customWidth="1"/>
    <col min="15" max="15" width="23" customWidth="1"/>
  </cols>
  <sheetData>
    <row r="1" spans="2:15" x14ac:dyDescent="0.25">
      <c r="D1" s="1"/>
      <c r="E1" s="1"/>
      <c r="F1" s="1"/>
      <c r="H1" s="1"/>
      <c r="I1" s="1"/>
    </row>
    <row r="2" spans="2:15" x14ac:dyDescent="0.25">
      <c r="B2" s="2"/>
      <c r="C2" s="2" t="s">
        <v>0</v>
      </c>
      <c r="D2" s="3"/>
      <c r="E2" s="1"/>
      <c r="F2" s="1"/>
      <c r="H2" s="1"/>
      <c r="I2" s="1"/>
    </row>
    <row r="3" spans="2:15" x14ac:dyDescent="0.25">
      <c r="B3" s="2"/>
      <c r="C3" s="2" t="s">
        <v>1</v>
      </c>
      <c r="D3" s="3"/>
      <c r="E3" s="4"/>
      <c r="F3" s="4"/>
      <c r="H3" s="1"/>
      <c r="I3" s="1"/>
    </row>
    <row r="4" spans="2:15" x14ac:dyDescent="0.25">
      <c r="B4" s="2"/>
      <c r="C4" s="2" t="s">
        <v>326</v>
      </c>
      <c r="D4" s="5"/>
      <c r="E4" s="125"/>
      <c r="F4" s="6"/>
      <c r="G4" s="1"/>
      <c r="H4" s="1"/>
      <c r="I4" s="1"/>
    </row>
    <row r="5" spans="2:15" x14ac:dyDescent="0.25">
      <c r="C5" s="2"/>
      <c r="D5" s="1"/>
      <c r="E5" s="1"/>
      <c r="F5" s="1"/>
      <c r="G5" s="1"/>
      <c r="H5" s="1"/>
      <c r="I5" s="1"/>
      <c r="J5" s="4"/>
    </row>
    <row r="6" spans="2:15" x14ac:dyDescent="0.25">
      <c r="C6" s="2" t="s">
        <v>2</v>
      </c>
      <c r="D6" s="1"/>
      <c r="E6" s="1"/>
      <c r="F6" s="1"/>
      <c r="G6" s="1"/>
      <c r="H6" s="1"/>
      <c r="I6" s="1"/>
      <c r="K6" s="149" t="s">
        <v>3</v>
      </c>
      <c r="L6" s="150"/>
      <c r="M6" s="150"/>
      <c r="N6" s="150"/>
      <c r="O6" s="151"/>
    </row>
    <row r="7" spans="2:15" ht="33.75" customHeight="1" x14ac:dyDescent="0.25">
      <c r="B7" s="7" t="s">
        <v>4</v>
      </c>
      <c r="C7" s="8" t="s">
        <v>5</v>
      </c>
      <c r="D7" s="7" t="s">
        <v>6</v>
      </c>
      <c r="E7" s="7" t="s">
        <v>7</v>
      </c>
      <c r="F7" s="8" t="s">
        <v>8</v>
      </c>
      <c r="G7" s="7" t="s">
        <v>9</v>
      </c>
      <c r="H7" s="7" t="s">
        <v>10</v>
      </c>
      <c r="I7" s="9" t="s">
        <v>11</v>
      </c>
      <c r="J7" s="9" t="s">
        <v>12</v>
      </c>
      <c r="K7" s="8" t="s">
        <v>13</v>
      </c>
      <c r="L7" s="9" t="s">
        <v>14</v>
      </c>
      <c r="M7" s="9" t="s">
        <v>15</v>
      </c>
      <c r="N7" s="9" t="s">
        <v>16</v>
      </c>
      <c r="O7" s="8" t="s">
        <v>17</v>
      </c>
    </row>
    <row r="8" spans="2:15" ht="15.75" customHeight="1" x14ac:dyDescent="0.25">
      <c r="B8" s="10">
        <v>1</v>
      </c>
      <c r="C8" s="11" t="s">
        <v>18</v>
      </c>
      <c r="D8" s="12" t="s">
        <v>19</v>
      </c>
      <c r="E8" s="13">
        <f>+'AEROPUERTO VALLARTA'!D7</f>
        <v>580000</v>
      </c>
      <c r="F8" s="14">
        <f>+'AEROPUERTO VALLARTA'!D8</f>
        <v>435000</v>
      </c>
      <c r="G8" s="15">
        <f t="shared" ref="G8:G14" si="0">+E8-F8</f>
        <v>145000</v>
      </c>
      <c r="H8" s="16">
        <v>0</v>
      </c>
      <c r="I8" s="17">
        <f t="shared" ref="I8:I59" si="1">+G8-H8</f>
        <v>145000</v>
      </c>
      <c r="J8" s="18">
        <v>0</v>
      </c>
      <c r="K8" s="19">
        <v>0.3</v>
      </c>
      <c r="L8" s="20">
        <f t="shared" ref="L8:L14" si="2">+E8*K8</f>
        <v>174000</v>
      </c>
      <c r="M8" s="20">
        <f t="shared" ref="M8:M14" si="3">+F8*K8</f>
        <v>130500</v>
      </c>
      <c r="N8" s="20">
        <v>0</v>
      </c>
      <c r="O8" s="21">
        <f t="shared" ref="O8:O14" si="4">+M8-N8</f>
        <v>130500</v>
      </c>
    </row>
    <row r="9" spans="2:15" ht="15.75" customHeight="1" x14ac:dyDescent="0.25">
      <c r="B9" s="10">
        <v>2</v>
      </c>
      <c r="C9" s="22" t="s">
        <v>20</v>
      </c>
      <c r="D9" s="23" t="s">
        <v>21</v>
      </c>
      <c r="E9" s="13">
        <f>+'AMORES 619'!D7</f>
        <v>2726000</v>
      </c>
      <c r="F9" s="14">
        <f>+'AMORES 619'!D8</f>
        <v>1660000</v>
      </c>
      <c r="G9" s="15">
        <f t="shared" si="0"/>
        <v>1066000</v>
      </c>
      <c r="H9" s="16">
        <v>0</v>
      </c>
      <c r="I9" s="17">
        <f t="shared" si="1"/>
        <v>1066000</v>
      </c>
      <c r="J9" s="29">
        <f>+'AMORES 619'!G15</f>
        <v>135049.62</v>
      </c>
      <c r="K9" s="24">
        <v>0.2</v>
      </c>
      <c r="L9" s="25">
        <f t="shared" si="2"/>
        <v>545200</v>
      </c>
      <c r="M9" s="25">
        <f t="shared" si="3"/>
        <v>332000</v>
      </c>
      <c r="N9" s="25">
        <f>50000+20000+100000+40000+23911.6+61273.88+30000</f>
        <v>325185.48</v>
      </c>
      <c r="O9" s="26">
        <f t="shared" si="4"/>
        <v>6814.5200000000186</v>
      </c>
    </row>
    <row r="10" spans="2:15" x14ac:dyDescent="0.25">
      <c r="B10" s="10">
        <v>3</v>
      </c>
      <c r="C10" s="27" t="s">
        <v>22</v>
      </c>
      <c r="D10" s="28" t="s">
        <v>23</v>
      </c>
      <c r="E10" s="13">
        <f>+'BAHLAY 2024'!D7</f>
        <v>28580461.820496</v>
      </c>
      <c r="F10" s="14">
        <f>+'BAHLAY 2024'!D8</f>
        <v>24394831.049549904</v>
      </c>
      <c r="G10" s="15">
        <f t="shared" si="0"/>
        <v>4185630.7709460966</v>
      </c>
      <c r="H10" s="16">
        <v>0</v>
      </c>
      <c r="I10" s="17">
        <f t="shared" si="1"/>
        <v>4185630.7709460966</v>
      </c>
      <c r="J10" s="14">
        <f>+'BAHLAY 2024'!G15</f>
        <v>0</v>
      </c>
      <c r="K10" s="30">
        <v>0.3</v>
      </c>
      <c r="L10" s="31">
        <f t="shared" si="2"/>
        <v>8574138.5461487994</v>
      </c>
      <c r="M10" s="31">
        <f t="shared" si="3"/>
        <v>7318449.3148649707</v>
      </c>
      <c r="N10" s="147">
        <f>2500000+250000+1000000+800478+100000+951087.87+50000+20000+200000+500000+221786.93+500000+200000</f>
        <v>7293352.7999999998</v>
      </c>
      <c r="O10" s="32">
        <f t="shared" si="4"/>
        <v>25096.51486497093</v>
      </c>
    </row>
    <row r="11" spans="2:15" x14ac:dyDescent="0.25">
      <c r="B11" s="10">
        <v>4</v>
      </c>
      <c r="C11" s="27" t="s">
        <v>24</v>
      </c>
      <c r="D11" s="33" t="s">
        <v>25</v>
      </c>
      <c r="E11" s="13">
        <f>+'BAHLAY LAMINADOS H'!D7</f>
        <v>184897.14439999999</v>
      </c>
      <c r="F11" s="14">
        <f>+'BAHLAY LAMINADOS H'!D8</f>
        <v>92449.58</v>
      </c>
      <c r="G11" s="15">
        <f t="shared" si="0"/>
        <v>92447.564399999988</v>
      </c>
      <c r="H11" s="16">
        <v>0</v>
      </c>
      <c r="I11" s="17">
        <f t="shared" si="1"/>
        <v>92447.564399999988</v>
      </c>
      <c r="J11" s="14">
        <v>0</v>
      </c>
      <c r="K11" s="34">
        <v>0.2</v>
      </c>
      <c r="L11" s="31">
        <f t="shared" si="2"/>
        <v>36979.428879999999</v>
      </c>
      <c r="M11" s="31">
        <f t="shared" si="3"/>
        <v>18489.916000000001</v>
      </c>
      <c r="N11" s="31">
        <v>0</v>
      </c>
      <c r="O11" s="35">
        <f t="shared" si="4"/>
        <v>18489.916000000001</v>
      </c>
    </row>
    <row r="12" spans="2:15" x14ac:dyDescent="0.25">
      <c r="B12" s="10">
        <v>5</v>
      </c>
      <c r="C12" s="22" t="s">
        <v>26</v>
      </c>
      <c r="D12" s="12" t="s">
        <v>27</v>
      </c>
      <c r="E12" s="13">
        <f>+BEITI!D7</f>
        <v>19122789.451199997</v>
      </c>
      <c r="F12" s="14">
        <f>+BEITI!D8</f>
        <v>16634790.379999999</v>
      </c>
      <c r="G12" s="15">
        <f t="shared" si="0"/>
        <v>2487999.0711999983</v>
      </c>
      <c r="H12" s="16">
        <f>+BEITI!D10</f>
        <v>573683.68353599985</v>
      </c>
      <c r="I12" s="17">
        <f t="shared" si="1"/>
        <v>1914315.3876639984</v>
      </c>
      <c r="J12" s="29">
        <f>+BEITI!G16</f>
        <v>193568.06</v>
      </c>
      <c r="K12" s="36">
        <v>0.2</v>
      </c>
      <c r="L12" s="31">
        <f t="shared" si="2"/>
        <v>3824557.8902399996</v>
      </c>
      <c r="M12" s="31">
        <f t="shared" si="3"/>
        <v>3326958.0759999999</v>
      </c>
      <c r="N12" s="31">
        <f>2000000+200000+200000+100000+350000+593340.99+250000+20000+100000</f>
        <v>3813340.99</v>
      </c>
      <c r="O12" s="37">
        <f t="shared" si="4"/>
        <v>-486382.91400000034</v>
      </c>
    </row>
    <row r="13" spans="2:15" x14ac:dyDescent="0.25">
      <c r="B13" s="10">
        <v>6</v>
      </c>
      <c r="C13" s="27" t="s">
        <v>28</v>
      </c>
      <c r="D13" s="12" t="s">
        <v>29</v>
      </c>
      <c r="E13" s="13">
        <f>+'C BOSQUE DE OLMOS'!D7</f>
        <v>2378000</v>
      </c>
      <c r="F13" s="14">
        <f>+'C BOSQUE DE OLMOS'!D8</f>
        <v>1664600</v>
      </c>
      <c r="G13" s="15">
        <f t="shared" si="0"/>
        <v>713400</v>
      </c>
      <c r="H13" s="16">
        <v>0</v>
      </c>
      <c r="I13" s="17">
        <f t="shared" si="1"/>
        <v>713400</v>
      </c>
      <c r="J13" s="14">
        <f>+BEITI!H18</f>
        <v>0</v>
      </c>
      <c r="K13" s="36">
        <v>0.2</v>
      </c>
      <c r="L13" s="31">
        <f t="shared" si="2"/>
        <v>475600</v>
      </c>
      <c r="M13" s="31">
        <f t="shared" si="3"/>
        <v>332920</v>
      </c>
      <c r="N13" s="31">
        <f>25147.35+86656.2+50000+100000+70000</f>
        <v>331803.55</v>
      </c>
      <c r="O13" s="35">
        <f t="shared" si="4"/>
        <v>1116.4500000000116</v>
      </c>
    </row>
    <row r="14" spans="2:15" x14ac:dyDescent="0.25">
      <c r="B14" s="10">
        <v>7</v>
      </c>
      <c r="C14" s="27" t="s">
        <v>30</v>
      </c>
      <c r="D14" s="12" t="s">
        <v>31</v>
      </c>
      <c r="E14" s="13">
        <f>+'CASA DIAZ'!D7</f>
        <v>661711.1888</v>
      </c>
      <c r="F14" s="14">
        <f>+'CASA DIAZ'!D8</f>
        <v>583667.61</v>
      </c>
      <c r="G14" s="15">
        <f t="shared" si="0"/>
        <v>78043.578800000018</v>
      </c>
      <c r="H14" s="16">
        <v>0</v>
      </c>
      <c r="I14" s="17">
        <f t="shared" si="1"/>
        <v>78043.578800000018</v>
      </c>
      <c r="J14" s="14">
        <f>+'CASA DIAZ'!G15</f>
        <v>0</v>
      </c>
      <c r="K14" s="36">
        <v>0.2</v>
      </c>
      <c r="L14" s="31">
        <f t="shared" si="2"/>
        <v>132342.23776000002</v>
      </c>
      <c r="M14" s="31">
        <f t="shared" si="3"/>
        <v>116733.522</v>
      </c>
      <c r="N14" s="31">
        <f>50000+30313+18046.6</f>
        <v>98359.6</v>
      </c>
      <c r="O14" s="35">
        <f t="shared" si="4"/>
        <v>18373.921999999991</v>
      </c>
    </row>
    <row r="15" spans="2:15" x14ac:dyDescent="0.25">
      <c r="B15" s="10">
        <v>8</v>
      </c>
      <c r="C15" s="27" t="s">
        <v>32</v>
      </c>
      <c r="D15" s="12" t="s">
        <v>33</v>
      </c>
      <c r="E15" s="13">
        <f>+'COM TECNO DISTRIB MOSO'!D7</f>
        <v>1160000</v>
      </c>
      <c r="F15" s="14">
        <f>+'COM TECNO DISTRIB MOSO'!D8</f>
        <v>1160000</v>
      </c>
      <c r="G15" s="15"/>
      <c r="H15" s="16">
        <v>0</v>
      </c>
      <c r="I15" s="17">
        <f t="shared" si="1"/>
        <v>0</v>
      </c>
      <c r="J15" s="14">
        <f>+'CASA DIAZ'!G16</f>
        <v>0</v>
      </c>
      <c r="K15" s="36"/>
      <c r="L15" s="31"/>
      <c r="M15" s="31"/>
      <c r="N15" s="31"/>
      <c r="O15" s="35"/>
    </row>
    <row r="16" spans="2:15" x14ac:dyDescent="0.25">
      <c r="B16" s="10">
        <v>9</v>
      </c>
      <c r="C16" s="27" t="s">
        <v>34</v>
      </c>
      <c r="D16" s="38"/>
      <c r="E16" s="13">
        <f>+'COM TECNO'!D7</f>
        <v>3215482.2303999998</v>
      </c>
      <c r="F16" s="14">
        <v>0</v>
      </c>
      <c r="G16" s="15">
        <f t="shared" ref="G16:G59" si="5">+E16-F16</f>
        <v>3215482.2303999998</v>
      </c>
      <c r="H16" s="16">
        <v>0</v>
      </c>
      <c r="I16" s="17">
        <f t="shared" si="1"/>
        <v>3215482.2303999998</v>
      </c>
      <c r="J16" s="14">
        <f>+'CASA DIAZ'!G17</f>
        <v>0</v>
      </c>
      <c r="K16" s="36"/>
      <c r="L16" s="31"/>
      <c r="M16" s="31"/>
      <c r="N16" s="31"/>
      <c r="O16" s="35"/>
    </row>
    <row r="17" spans="2:15" x14ac:dyDescent="0.25">
      <c r="B17" s="10">
        <v>10</v>
      </c>
      <c r="C17" s="27" t="s">
        <v>35</v>
      </c>
      <c r="D17" s="12" t="s">
        <v>36</v>
      </c>
      <c r="E17" s="13">
        <f>+'CONSTITUYENTES 7'!D7</f>
        <v>1857290.47</v>
      </c>
      <c r="F17" s="14">
        <f>+'CONSTITUYENTES 7'!D8</f>
        <v>500000</v>
      </c>
      <c r="G17" s="15">
        <f t="shared" si="5"/>
        <v>1357290.47</v>
      </c>
      <c r="H17" s="16">
        <v>0</v>
      </c>
      <c r="I17" s="17">
        <f t="shared" si="1"/>
        <v>1357290.47</v>
      </c>
      <c r="J17" s="29">
        <f>+'CONSTITUYENTES 7'!G15</f>
        <v>334083.84999999998</v>
      </c>
      <c r="K17" s="36">
        <v>0.2</v>
      </c>
      <c r="L17" s="31">
        <f t="shared" ref="L17:L38" si="6">+E17*K17</f>
        <v>371458.09400000004</v>
      </c>
      <c r="M17" s="31">
        <f t="shared" ref="M17:M38" si="7">+F17*K17</f>
        <v>100000</v>
      </c>
      <c r="N17" s="31">
        <v>100000</v>
      </c>
      <c r="O17" s="35">
        <f t="shared" ref="O17:O38" si="8">+M17-N17</f>
        <v>0</v>
      </c>
    </row>
    <row r="18" spans="2:15" ht="15.75" customHeight="1" x14ac:dyDescent="0.25">
      <c r="B18" s="10">
        <v>11</v>
      </c>
      <c r="C18" s="39" t="s">
        <v>37</v>
      </c>
      <c r="D18" s="23" t="s">
        <v>38</v>
      </c>
      <c r="E18" s="13">
        <f>+'CV GYM'!D7</f>
        <v>1475327.3703999999</v>
      </c>
      <c r="F18" s="40">
        <f>+'CV GYM'!D8</f>
        <v>1127328.1399999999</v>
      </c>
      <c r="G18" s="15">
        <f t="shared" si="5"/>
        <v>347999.2304</v>
      </c>
      <c r="H18" s="31">
        <v>0</v>
      </c>
      <c r="I18" s="17">
        <f t="shared" si="1"/>
        <v>347999.2304</v>
      </c>
      <c r="J18" s="14">
        <f>+'CV GYM'!G15</f>
        <v>0</v>
      </c>
      <c r="K18" s="34">
        <v>0.3</v>
      </c>
      <c r="L18" s="31">
        <f t="shared" si="6"/>
        <v>442598.21111999993</v>
      </c>
      <c r="M18" s="31">
        <f t="shared" si="7"/>
        <v>338198.44199999998</v>
      </c>
      <c r="N18" s="31">
        <v>90000</v>
      </c>
      <c r="O18" s="35">
        <f t="shared" si="8"/>
        <v>248198.44199999998</v>
      </c>
    </row>
    <row r="19" spans="2:15" ht="15.75" customHeight="1" x14ac:dyDescent="0.25">
      <c r="B19" s="10">
        <v>12</v>
      </c>
      <c r="C19" s="27" t="s">
        <v>113</v>
      </c>
      <c r="D19" s="23" t="s">
        <v>114</v>
      </c>
      <c r="E19" s="45">
        <f>+'DECK POLANCO'!D7</f>
        <v>577461.22399999993</v>
      </c>
      <c r="F19" s="40">
        <f>+'DECK POLANCO'!D8</f>
        <v>313200</v>
      </c>
      <c r="G19" s="15">
        <f>+E19-F19</f>
        <v>264261.22399999993</v>
      </c>
      <c r="H19" s="31">
        <v>0</v>
      </c>
      <c r="I19" s="17">
        <f>+G19-H19</f>
        <v>264261.22399999993</v>
      </c>
      <c r="J19" s="14">
        <f>+BEITI!H21</f>
        <v>0</v>
      </c>
      <c r="K19" s="34">
        <v>0.2</v>
      </c>
      <c r="L19" s="31">
        <f>+E19*K19</f>
        <v>115492.24479999999</v>
      </c>
      <c r="M19" s="31">
        <f>+F19*K19</f>
        <v>62640</v>
      </c>
      <c r="N19" s="31">
        <v>0</v>
      </c>
      <c r="O19" s="35">
        <f>+M19-N19</f>
        <v>62640</v>
      </c>
    </row>
    <row r="20" spans="2:15" ht="15.75" customHeight="1" x14ac:dyDescent="0.25">
      <c r="B20" s="10">
        <v>13</v>
      </c>
      <c r="C20" s="27" t="s">
        <v>39</v>
      </c>
      <c r="D20" s="12" t="s">
        <v>40</v>
      </c>
      <c r="E20" s="41">
        <f>+'EMPORIO ACAPULCO'!D7</f>
        <v>4921927.0408000005</v>
      </c>
      <c r="F20" s="40">
        <f>+'EMPORIO ACAPULCO'!D8</f>
        <v>4228155.8199999994</v>
      </c>
      <c r="G20" s="15">
        <f t="shared" si="5"/>
        <v>693771.22080000117</v>
      </c>
      <c r="H20" s="31">
        <f>+'EMPORIO ACAPULCO'!D10</f>
        <v>492192.70408000005</v>
      </c>
      <c r="I20" s="17">
        <f t="shared" si="1"/>
        <v>201578.51672000112</v>
      </c>
      <c r="J20" s="14">
        <f>+'EMPORIO ACAPULCO'!G15</f>
        <v>0</v>
      </c>
      <c r="K20" s="36">
        <v>0.2</v>
      </c>
      <c r="L20" s="31">
        <f t="shared" si="6"/>
        <v>984385.40816000011</v>
      </c>
      <c r="M20" s="31">
        <f t="shared" si="7"/>
        <v>845631.16399999987</v>
      </c>
      <c r="N20" s="31">
        <v>400000</v>
      </c>
      <c r="O20" s="35">
        <f t="shared" si="8"/>
        <v>445631.16399999987</v>
      </c>
    </row>
    <row r="21" spans="2:15" ht="15.75" customHeight="1" x14ac:dyDescent="0.25">
      <c r="B21" s="10">
        <v>14</v>
      </c>
      <c r="C21" s="27" t="s">
        <v>41</v>
      </c>
      <c r="D21" s="12" t="s">
        <v>42</v>
      </c>
      <c r="E21" s="41">
        <f>+'EMPORIO CANC TORRE R'!D7</f>
        <v>53511406.700000003</v>
      </c>
      <c r="F21" s="40">
        <f>+'EMPORIO CANC TORRE R'!D8</f>
        <v>20106844.02</v>
      </c>
      <c r="G21" s="15">
        <f t="shared" si="5"/>
        <v>33404562.680000003</v>
      </c>
      <c r="H21" s="16">
        <f>+'EMPORIO CANC TORRE R'!D10</f>
        <v>5351140.6700000009</v>
      </c>
      <c r="I21" s="17">
        <f t="shared" si="1"/>
        <v>28053422.010000002</v>
      </c>
      <c r="J21" s="14">
        <f>+'EMPORIO CANC TORRE R'!G15</f>
        <v>0</v>
      </c>
      <c r="K21" s="36">
        <v>0.15</v>
      </c>
      <c r="L21" s="31">
        <f t="shared" si="6"/>
        <v>8026711.0049999999</v>
      </c>
      <c r="M21" s="31">
        <f t="shared" si="7"/>
        <v>3016026.6029999997</v>
      </c>
      <c r="N21" s="31">
        <v>152118.43</v>
      </c>
      <c r="O21" s="35">
        <f t="shared" si="8"/>
        <v>2863908.1729999995</v>
      </c>
    </row>
    <row r="22" spans="2:15" ht="15.75" customHeight="1" x14ac:dyDescent="0.25">
      <c r="B22" s="10">
        <v>15</v>
      </c>
      <c r="C22" s="27" t="s">
        <v>43</v>
      </c>
      <c r="D22" s="12" t="s">
        <v>44</v>
      </c>
      <c r="E22" s="41">
        <f>+'FAIRMONT ACAPULCO'!D7</f>
        <v>28284302.117199998</v>
      </c>
      <c r="F22" s="40">
        <f>+'FAIRMONT ACAPULCO'!D8</f>
        <v>27727153.5</v>
      </c>
      <c r="G22" s="15">
        <f t="shared" si="5"/>
        <v>557148.61719999835</v>
      </c>
      <c r="H22" s="31">
        <f>+'FAIRMONT ACAPULCO'!D10</f>
        <v>557148.61</v>
      </c>
      <c r="I22" s="17">
        <f t="shared" si="1"/>
        <v>7.1999983629211783E-3</v>
      </c>
      <c r="J22" s="14">
        <f>+BEITI!H25</f>
        <v>0</v>
      </c>
      <c r="K22" s="34">
        <v>0.2</v>
      </c>
      <c r="L22" s="31">
        <f t="shared" si="6"/>
        <v>5656860.42344</v>
      </c>
      <c r="M22" s="31">
        <f t="shared" si="7"/>
        <v>5545430.7000000002</v>
      </c>
      <c r="N22" s="31">
        <f>150000+959356.8+500000+1500000+25157.6+20000+50000+50000+250000</f>
        <v>3504514.4</v>
      </c>
      <c r="O22" s="35">
        <f t="shared" si="8"/>
        <v>2040916.3000000003</v>
      </c>
    </row>
    <row r="23" spans="2:15" ht="15.75" customHeight="1" x14ac:dyDescent="0.25">
      <c r="B23" s="10">
        <v>16</v>
      </c>
      <c r="C23" s="42" t="s">
        <v>45</v>
      </c>
      <c r="D23" s="12" t="s">
        <v>46</v>
      </c>
      <c r="E23" s="41">
        <f>+FLOW!D7</f>
        <v>53631570.489200003</v>
      </c>
      <c r="F23" s="40">
        <f>+FLOW!D8</f>
        <v>50285616.109999999</v>
      </c>
      <c r="G23" s="15">
        <f t="shared" si="5"/>
        <v>3345954.379200004</v>
      </c>
      <c r="H23" s="31">
        <v>0</v>
      </c>
      <c r="I23" s="17">
        <f t="shared" si="1"/>
        <v>3345954.379200004</v>
      </c>
      <c r="J23" s="17">
        <f>+BEITI!H26</f>
        <v>0</v>
      </c>
      <c r="K23" s="34">
        <v>0.15</v>
      </c>
      <c r="L23" s="31">
        <f t="shared" si="6"/>
        <v>8044735.57338</v>
      </c>
      <c r="M23" s="31">
        <f t="shared" si="7"/>
        <v>7542842.4164999994</v>
      </c>
      <c r="N23" s="31">
        <v>0</v>
      </c>
      <c r="O23" s="35">
        <f t="shared" si="8"/>
        <v>7542842.4164999994</v>
      </c>
    </row>
    <row r="24" spans="2:15" x14ac:dyDescent="0.25">
      <c r="B24" s="10">
        <v>17</v>
      </c>
      <c r="C24" s="27" t="s">
        <v>47</v>
      </c>
      <c r="D24" s="12" t="s">
        <v>48</v>
      </c>
      <c r="E24" s="41">
        <f>+'FLOW 2025'!D7</f>
        <v>818274.32399999991</v>
      </c>
      <c r="F24" s="40">
        <f>+'FLOW 2025'!D8</f>
        <v>505734.39</v>
      </c>
      <c r="G24" s="15">
        <f t="shared" si="5"/>
        <v>312539.93399999989</v>
      </c>
      <c r="H24" s="31">
        <v>0</v>
      </c>
      <c r="I24" s="17">
        <f t="shared" si="1"/>
        <v>312539.93399999989</v>
      </c>
      <c r="J24" s="17">
        <f>+'FLOW 2025'!G15</f>
        <v>0</v>
      </c>
      <c r="K24" s="36">
        <v>0.2</v>
      </c>
      <c r="L24" s="31">
        <f t="shared" si="6"/>
        <v>163654.86479999998</v>
      </c>
      <c r="M24" s="31">
        <f t="shared" si="7"/>
        <v>101146.87800000001</v>
      </c>
      <c r="N24" s="147">
        <f>50000+8289+40000</f>
        <v>98289</v>
      </c>
      <c r="O24" s="35">
        <f t="shared" si="8"/>
        <v>2857.8780000000115</v>
      </c>
    </row>
    <row r="25" spans="2:15" x14ac:dyDescent="0.25">
      <c r="B25" s="10">
        <v>18</v>
      </c>
      <c r="C25" s="27" t="s">
        <v>49</v>
      </c>
      <c r="D25" s="12" t="s">
        <v>50</v>
      </c>
      <c r="E25" s="41">
        <f>+GHC!D7</f>
        <v>146698445.90000001</v>
      </c>
      <c r="F25" s="40">
        <f>+GHC!D8</f>
        <v>91299999.420000002</v>
      </c>
      <c r="G25" s="15">
        <f t="shared" si="5"/>
        <v>55398446.480000004</v>
      </c>
      <c r="H25" s="31">
        <f>+GHC!D10</f>
        <v>14669844.590000002</v>
      </c>
      <c r="I25" s="17">
        <f t="shared" si="1"/>
        <v>40728601.890000001</v>
      </c>
      <c r="J25" s="14">
        <f>+GHC!G15</f>
        <v>0</v>
      </c>
      <c r="K25" s="36">
        <v>0.2</v>
      </c>
      <c r="L25" s="31">
        <f t="shared" si="6"/>
        <v>29339689.180000003</v>
      </c>
      <c r="M25" s="31">
        <f t="shared" si="7"/>
        <v>18259999.884</v>
      </c>
      <c r="N25" s="31">
        <f>228922.77*20+105500*20+110000*20</f>
        <v>8888455.3999999985</v>
      </c>
      <c r="O25" s="35">
        <f t="shared" si="8"/>
        <v>9371544.4840000011</v>
      </c>
    </row>
    <row r="26" spans="2:15" x14ac:dyDescent="0.25">
      <c r="B26" s="10">
        <v>19</v>
      </c>
      <c r="C26" s="27" t="s">
        <v>314</v>
      </c>
      <c r="D26" s="145" t="s">
        <v>315</v>
      </c>
      <c r="E26" s="41">
        <f>+' GHC MOSO'!D7</f>
        <v>8026722.0451999996</v>
      </c>
      <c r="F26" s="40">
        <f>+' GHC MOSO'!D8</f>
        <v>0</v>
      </c>
      <c r="G26" s="15">
        <f t="shared" si="5"/>
        <v>8026722.0451999996</v>
      </c>
      <c r="H26" s="31"/>
      <c r="I26" s="17">
        <f t="shared" si="1"/>
        <v>8026722.0451999996</v>
      </c>
      <c r="J26" s="29">
        <f>+' GHC MOSO'!G15</f>
        <v>5618705.4299999997</v>
      </c>
      <c r="K26" s="143">
        <v>0.2</v>
      </c>
      <c r="L26" s="31">
        <f t="shared" si="6"/>
        <v>1605344.4090400001</v>
      </c>
      <c r="M26" s="31">
        <f t="shared" si="7"/>
        <v>0</v>
      </c>
      <c r="N26" s="31">
        <f>228922.77*20+105500*20+110000*20</f>
        <v>8888455.3999999985</v>
      </c>
      <c r="O26" s="35">
        <f t="shared" si="8"/>
        <v>-8888455.3999999985</v>
      </c>
    </row>
    <row r="27" spans="2:15" x14ac:dyDescent="0.25">
      <c r="B27" s="10">
        <v>20</v>
      </c>
      <c r="C27" s="27" t="s">
        <v>51</v>
      </c>
      <c r="D27" s="12" t="s">
        <v>52</v>
      </c>
      <c r="E27" s="41">
        <f>+'HOTEL COPACABANA'!D7</f>
        <v>28840306.0132</v>
      </c>
      <c r="F27" s="40">
        <f>+'HOTEL COPACABANA'!D8</f>
        <v>25293838.959960002</v>
      </c>
      <c r="G27" s="15">
        <f t="shared" si="5"/>
        <v>3546467.0532399975</v>
      </c>
      <c r="H27" s="31">
        <f>+'HOTEL COPACABANA'!D10</f>
        <v>2884030.6013200004</v>
      </c>
      <c r="I27" s="17">
        <f t="shared" si="1"/>
        <v>662436.45191999711</v>
      </c>
      <c r="J27" s="29">
        <f>+'HOTEL COPACABANA'!G15</f>
        <v>500000.01</v>
      </c>
      <c r="K27" s="36">
        <v>0.15</v>
      </c>
      <c r="L27" s="31">
        <f t="shared" si="6"/>
        <v>4326045.9019799996</v>
      </c>
      <c r="M27" s="31">
        <f t="shared" si="7"/>
        <v>3794075.843994</v>
      </c>
      <c r="N27" s="31">
        <f>160000+100000</f>
        <v>260000</v>
      </c>
      <c r="O27" s="35">
        <f t="shared" si="8"/>
        <v>3534075.843994</v>
      </c>
    </row>
    <row r="28" spans="2:15" ht="15.75" customHeight="1" x14ac:dyDescent="0.25">
      <c r="B28" s="10">
        <v>21</v>
      </c>
      <c r="C28" s="27" t="s">
        <v>53</v>
      </c>
      <c r="D28" s="12" t="s">
        <v>54</v>
      </c>
      <c r="E28" s="41">
        <f>+'JAIME NUNO'!D7</f>
        <v>61450000</v>
      </c>
      <c r="F28" s="40">
        <f>+'JAIME NUNO'!D8</f>
        <v>51982457.539999999</v>
      </c>
      <c r="G28" s="15">
        <f t="shared" si="5"/>
        <v>9467542.4600000009</v>
      </c>
      <c r="H28" s="31">
        <v>0</v>
      </c>
      <c r="I28" s="17">
        <f t="shared" si="1"/>
        <v>9467542.4600000009</v>
      </c>
      <c r="J28" s="14">
        <f>+'JAIME NUNO'!G15</f>
        <v>0</v>
      </c>
      <c r="K28" s="36">
        <v>0.2</v>
      </c>
      <c r="L28" s="31">
        <f t="shared" si="6"/>
        <v>12290000</v>
      </c>
      <c r="M28" s="31">
        <f t="shared" si="7"/>
        <v>10396491.508000001</v>
      </c>
      <c r="N28" s="31">
        <f>1500000+1160000+200000</f>
        <v>2860000</v>
      </c>
      <c r="O28" s="35">
        <f t="shared" si="8"/>
        <v>7536491.5080000013</v>
      </c>
    </row>
    <row r="29" spans="2:15" ht="15" customHeight="1" x14ac:dyDescent="0.25">
      <c r="B29" s="10">
        <v>22</v>
      </c>
      <c r="C29" s="27" t="s">
        <v>55</v>
      </c>
      <c r="D29" s="43" t="s">
        <v>56</v>
      </c>
      <c r="E29" s="44">
        <v>588816</v>
      </c>
      <c r="F29" s="40">
        <v>471032.56</v>
      </c>
      <c r="G29" s="15">
        <f t="shared" si="5"/>
        <v>117783.44</v>
      </c>
      <c r="H29" s="31">
        <v>0</v>
      </c>
      <c r="I29" s="17">
        <f t="shared" si="1"/>
        <v>117783.44</v>
      </c>
      <c r="J29" s="14">
        <f>+PARALLEL!G25</f>
        <v>0</v>
      </c>
      <c r="K29" s="36">
        <v>0.2</v>
      </c>
      <c r="L29" s="31">
        <f t="shared" si="6"/>
        <v>117763.20000000001</v>
      </c>
      <c r="M29" s="31">
        <f t="shared" si="7"/>
        <v>94206.512000000002</v>
      </c>
      <c r="N29" s="31">
        <v>0</v>
      </c>
      <c r="O29" s="35">
        <f t="shared" si="8"/>
        <v>94206.512000000002</v>
      </c>
    </row>
    <row r="30" spans="2:15" ht="15.75" customHeight="1" x14ac:dyDescent="0.25">
      <c r="B30" s="10">
        <v>23</v>
      </c>
      <c r="C30" s="27" t="s">
        <v>327</v>
      </c>
      <c r="D30" s="12" t="s">
        <v>329</v>
      </c>
      <c r="E30" s="44">
        <v>133000000.00640002</v>
      </c>
      <c r="F30" s="40">
        <v>129652764.25000001</v>
      </c>
      <c r="G30" s="15">
        <f t="shared" si="5"/>
        <v>3347235.756400004</v>
      </c>
      <c r="H30" s="31">
        <f>+'LANDMARK GDL RESIDENCIAL'!D10+'LANDMARK COMERCIO'!D10</f>
        <v>3356401.4014600003</v>
      </c>
      <c r="I30" s="17">
        <f t="shared" si="1"/>
        <v>-9165.6450599962845</v>
      </c>
      <c r="J30" s="14">
        <f>+'LANDMARK COMERCIO'!G16</f>
        <v>0</v>
      </c>
      <c r="K30" s="36">
        <v>0.1</v>
      </c>
      <c r="L30" s="31">
        <f t="shared" si="6"/>
        <v>13300000.000640003</v>
      </c>
      <c r="M30" s="31">
        <f t="shared" si="7"/>
        <v>12965276.425000003</v>
      </c>
      <c r="N30" s="148">
        <f>400000+500000+1848702.69+150000+700000+430000+500000+400000+250000+1686490.91+1000000+450000+200000+500000+1000000+1000000+20000+100000+175526.35+100000+400000</f>
        <v>11810719.949999999</v>
      </c>
      <c r="O30" s="35">
        <f>+M30-Q28</f>
        <v>12965276.425000003</v>
      </c>
    </row>
    <row r="31" spans="2:15" ht="15.75" customHeight="1" x14ac:dyDescent="0.25">
      <c r="B31" s="10">
        <v>24</v>
      </c>
      <c r="C31" s="27" t="s">
        <v>328</v>
      </c>
      <c r="D31" s="33" t="s">
        <v>330</v>
      </c>
      <c r="E31" s="44">
        <v>49736608.979599997</v>
      </c>
      <c r="F31" s="40">
        <v>40463665.969441995</v>
      </c>
      <c r="G31" s="15">
        <f t="shared" si="5"/>
        <v>9272943.0101580024</v>
      </c>
      <c r="H31" s="31">
        <f>+'LANDMARK TIJUANA RES'!D10+'LANDMARK TIJUANA INTERIORES'!D10</f>
        <v>2147162</v>
      </c>
      <c r="I31" s="17">
        <f t="shared" si="1"/>
        <v>7125781.0101580024</v>
      </c>
      <c r="J31" s="144">
        <v>4345581.6748270001</v>
      </c>
      <c r="K31" s="36">
        <v>0.2</v>
      </c>
      <c r="L31" s="31">
        <f t="shared" si="6"/>
        <v>9947321.7959199995</v>
      </c>
      <c r="M31" s="31">
        <f t="shared" si="7"/>
        <v>8092733.1938883997</v>
      </c>
      <c r="N31" s="31">
        <f>200000+500000</f>
        <v>700000</v>
      </c>
      <c r="O31" s="35">
        <f t="shared" si="8"/>
        <v>7392733.1938883997</v>
      </c>
    </row>
    <row r="32" spans="2:15" ht="15.75" customHeight="1" x14ac:dyDescent="0.25">
      <c r="B32" s="10">
        <v>25</v>
      </c>
      <c r="C32" s="27" t="s">
        <v>57</v>
      </c>
      <c r="D32" s="12" t="s">
        <v>58</v>
      </c>
      <c r="E32" s="44">
        <f>+'MARIANO ESCOBEDO'!D7</f>
        <v>38824118.100000001</v>
      </c>
      <c r="F32" s="40">
        <f>+'MARIANO ESCOBEDO'!D8</f>
        <v>32373000</v>
      </c>
      <c r="G32" s="15">
        <f t="shared" si="5"/>
        <v>6451118.1000000015</v>
      </c>
      <c r="H32" s="31">
        <v>0</v>
      </c>
      <c r="I32" s="17">
        <f t="shared" si="1"/>
        <v>6451118.1000000015</v>
      </c>
      <c r="J32" s="40">
        <v>0</v>
      </c>
      <c r="K32" s="36">
        <v>0.2</v>
      </c>
      <c r="L32" s="31">
        <f t="shared" si="6"/>
        <v>7764823.620000001</v>
      </c>
      <c r="M32" s="31">
        <f t="shared" si="7"/>
        <v>6474600</v>
      </c>
      <c r="N32" s="31">
        <f>1500000+400000+500000</f>
        <v>2400000</v>
      </c>
      <c r="O32" s="35">
        <f t="shared" si="8"/>
        <v>4074600</v>
      </c>
    </row>
    <row r="33" spans="2:22" ht="15.75" customHeight="1" x14ac:dyDescent="0.25">
      <c r="B33" s="10">
        <v>26</v>
      </c>
      <c r="C33" s="27" t="s">
        <v>59</v>
      </c>
      <c r="D33" s="23" t="s">
        <v>60</v>
      </c>
      <c r="E33" s="44">
        <f>+'MAURICIO CAPON'!D7</f>
        <v>3737883.4396000002</v>
      </c>
      <c r="F33" s="40">
        <f>+'MAURICIO CAPON'!D8</f>
        <v>1868941.09</v>
      </c>
      <c r="G33" s="15">
        <f t="shared" si="5"/>
        <v>1868942.3496000001</v>
      </c>
      <c r="H33" s="16">
        <v>0</v>
      </c>
      <c r="I33" s="16">
        <f t="shared" si="1"/>
        <v>1868942.3496000001</v>
      </c>
      <c r="J33" s="40">
        <v>0</v>
      </c>
      <c r="K33" s="36">
        <v>0.2</v>
      </c>
      <c r="L33" s="31">
        <f t="shared" si="6"/>
        <v>747576.68792000005</v>
      </c>
      <c r="M33" s="31">
        <f t="shared" si="7"/>
        <v>373788.21800000005</v>
      </c>
      <c r="N33" s="31">
        <f>100000+100000+100000+17597.19</f>
        <v>317597.19</v>
      </c>
      <c r="O33" s="35">
        <f t="shared" si="8"/>
        <v>56191.028000000049</v>
      </c>
    </row>
    <row r="34" spans="2:22" ht="15.75" customHeight="1" x14ac:dyDescent="0.25">
      <c r="B34" s="10">
        <v>27</v>
      </c>
      <c r="C34" s="27" t="s">
        <v>307</v>
      </c>
      <c r="D34" s="131" t="s">
        <v>306</v>
      </c>
      <c r="E34" s="44">
        <f>62149276.95*1.16</f>
        <v>72093161.261999995</v>
      </c>
      <c r="F34" s="40">
        <f>57294036.65*1.16</f>
        <v>66461082.513999991</v>
      </c>
      <c r="G34" s="15">
        <f>+E34-F34-1379414.19</f>
        <v>4252664.5580000039</v>
      </c>
      <c r="H34" s="16">
        <f>3666090.14*1.16</f>
        <v>4252664.5624000002</v>
      </c>
      <c r="I34" s="16">
        <f t="shared" si="1"/>
        <v>-4.3999962508678436E-3</v>
      </c>
      <c r="J34" s="40"/>
      <c r="K34" s="132">
        <v>0.1</v>
      </c>
      <c r="L34" s="126"/>
      <c r="M34" s="126"/>
      <c r="N34" s="31"/>
      <c r="O34" s="35"/>
      <c r="P34" s="127"/>
      <c r="Q34" s="128"/>
      <c r="R34" s="128"/>
      <c r="S34" s="128"/>
      <c r="T34" s="127"/>
      <c r="U34" s="129"/>
      <c r="V34" s="128"/>
    </row>
    <row r="35" spans="2:22" ht="15.75" customHeight="1" x14ac:dyDescent="0.25">
      <c r="B35" s="10">
        <v>28</v>
      </c>
      <c r="C35" s="27" t="s">
        <v>61</v>
      </c>
      <c r="D35" s="23" t="s">
        <v>62</v>
      </c>
      <c r="E35" s="44">
        <f>+'MONTE AZUL 2024'!D7</f>
        <v>2185946.1660000002</v>
      </c>
      <c r="F35" s="40">
        <f>+'MONTE AZUL 2024'!D8</f>
        <v>1160000</v>
      </c>
      <c r="G35" s="15">
        <f t="shared" si="5"/>
        <v>1025946.1660000002</v>
      </c>
      <c r="H35" s="16">
        <v>0</v>
      </c>
      <c r="I35" s="16">
        <f t="shared" si="1"/>
        <v>1025946.1660000002</v>
      </c>
      <c r="J35" s="40">
        <v>0</v>
      </c>
      <c r="K35" s="36">
        <v>0.2</v>
      </c>
      <c r="L35" s="31">
        <f t="shared" si="6"/>
        <v>437189.23320000008</v>
      </c>
      <c r="M35" s="31">
        <f t="shared" si="7"/>
        <v>232000</v>
      </c>
      <c r="N35" s="31">
        <f>100000+150000</f>
        <v>250000</v>
      </c>
      <c r="O35" s="130">
        <f t="shared" si="8"/>
        <v>-18000</v>
      </c>
    </row>
    <row r="36" spans="2:22" ht="15.75" customHeight="1" x14ac:dyDescent="0.25">
      <c r="B36" s="10">
        <v>29</v>
      </c>
      <c r="C36" s="42" t="s">
        <v>63</v>
      </c>
      <c r="D36" s="12" t="s">
        <v>64</v>
      </c>
      <c r="E36" s="44">
        <f>+MU!D7</f>
        <v>20772761.600000001</v>
      </c>
      <c r="F36" s="40">
        <f>+MU!D8</f>
        <v>16914241.030000001</v>
      </c>
      <c r="G36" s="15">
        <f t="shared" si="5"/>
        <v>3858520.5700000003</v>
      </c>
      <c r="H36" s="16">
        <f>+MU!D10</f>
        <v>0</v>
      </c>
      <c r="I36" s="16">
        <f t="shared" si="1"/>
        <v>3858520.5700000003</v>
      </c>
      <c r="J36" s="40">
        <f>+MU!G15</f>
        <v>0</v>
      </c>
      <c r="K36" s="34">
        <v>0.25</v>
      </c>
      <c r="L36" s="31">
        <f t="shared" si="6"/>
        <v>5193190.4000000004</v>
      </c>
      <c r="M36" s="31">
        <f t="shared" si="7"/>
        <v>4228560.2575000003</v>
      </c>
      <c r="N36" s="31">
        <f>242405.33+511905.1+200000+477251.57+285000+800000+200000+90000+400000+300000+50000+35935.04</f>
        <v>3592497.04</v>
      </c>
      <c r="O36" s="35">
        <f t="shared" si="8"/>
        <v>636063.21750000026</v>
      </c>
    </row>
    <row r="37" spans="2:22" ht="15.75" customHeight="1" x14ac:dyDescent="0.25">
      <c r="B37" s="10">
        <v>30</v>
      </c>
      <c r="C37" s="27" t="s">
        <v>65</v>
      </c>
      <c r="D37" s="12" t="s">
        <v>66</v>
      </c>
      <c r="E37" s="44">
        <f>+'MU 2025'!D7</f>
        <v>284540.1004</v>
      </c>
      <c r="F37" s="40">
        <f>+'MU 2025'!D8</f>
        <v>242013.00999999998</v>
      </c>
      <c r="G37" s="15">
        <f t="shared" si="5"/>
        <v>42527.090400000016</v>
      </c>
      <c r="H37" s="16">
        <v>0</v>
      </c>
      <c r="I37" s="16">
        <f t="shared" si="1"/>
        <v>42527.090400000016</v>
      </c>
      <c r="J37" s="40">
        <f>+'MU 2025'!G15</f>
        <v>0</v>
      </c>
      <c r="K37" s="34">
        <v>0.2</v>
      </c>
      <c r="L37" s="31">
        <f t="shared" si="6"/>
        <v>56908.020080000002</v>
      </c>
      <c r="M37" s="31">
        <f t="shared" si="7"/>
        <v>48402.601999999999</v>
      </c>
      <c r="N37" s="31">
        <v>0</v>
      </c>
      <c r="O37" s="35">
        <f t="shared" si="8"/>
        <v>48402.601999999999</v>
      </c>
    </row>
    <row r="38" spans="2:22" ht="15.75" customHeight="1" x14ac:dyDescent="0.25">
      <c r="B38" s="10">
        <v>31</v>
      </c>
      <c r="C38" s="27" t="s">
        <v>67</v>
      </c>
      <c r="D38" s="12" t="s">
        <v>68</v>
      </c>
      <c r="E38" s="41">
        <f>+NAARA!D7</f>
        <v>31198824.404799998</v>
      </c>
      <c r="F38" s="40">
        <f>+NAARA!D8</f>
        <v>30357848.590000004</v>
      </c>
      <c r="G38" s="15">
        <f t="shared" si="5"/>
        <v>840975.81479999423</v>
      </c>
      <c r="H38" s="16">
        <f>+NAARA!D10</f>
        <v>393315.86047999968</v>
      </c>
      <c r="I38" s="16">
        <f t="shared" si="1"/>
        <v>447659.95431999455</v>
      </c>
      <c r="J38" s="40">
        <v>0</v>
      </c>
      <c r="K38" s="36">
        <v>0.2</v>
      </c>
      <c r="L38" s="31">
        <f t="shared" si="6"/>
        <v>6239764.8809599997</v>
      </c>
      <c r="M38" s="31">
        <f t="shared" si="7"/>
        <v>6071569.7180000013</v>
      </c>
      <c r="N38" s="31">
        <f>150000+500000+900000+200000+46809.2+200000+500000+400000+500000+1000000+904961.13+50000+10000+700000</f>
        <v>6061770.3300000001</v>
      </c>
      <c r="O38" s="35">
        <f t="shared" si="8"/>
        <v>9799.3880000011995</v>
      </c>
    </row>
    <row r="39" spans="2:22" ht="15.75" customHeight="1" x14ac:dyDescent="0.25">
      <c r="B39" s="10">
        <v>32</v>
      </c>
      <c r="C39" s="27" t="s">
        <v>69</v>
      </c>
      <c r="D39" s="46" t="s">
        <v>70</v>
      </c>
      <c r="E39" s="41">
        <f>209941.82*1.16</f>
        <v>243532.51119999998</v>
      </c>
      <c r="F39" s="14">
        <v>170472.59</v>
      </c>
      <c r="G39" s="15">
        <f t="shared" si="5"/>
        <v>73059.921199999982</v>
      </c>
      <c r="H39" s="16">
        <v>0</v>
      </c>
      <c r="I39" s="17">
        <f t="shared" si="1"/>
        <v>73059.921199999982</v>
      </c>
      <c r="J39" s="40">
        <v>0</v>
      </c>
      <c r="K39" s="47"/>
      <c r="L39" s="31"/>
      <c r="M39" s="31"/>
      <c r="N39" s="31"/>
      <c r="O39" s="35"/>
    </row>
    <row r="40" spans="2:22" ht="15.75" customHeight="1" x14ac:dyDescent="0.25">
      <c r="B40" s="10">
        <v>33</v>
      </c>
      <c r="C40" s="27" t="s">
        <v>71</v>
      </c>
      <c r="D40" s="23" t="s">
        <v>72</v>
      </c>
      <c r="E40" s="41">
        <v>222099.79</v>
      </c>
      <c r="F40" s="14">
        <v>155469.85999999999</v>
      </c>
      <c r="G40" s="15">
        <f t="shared" si="5"/>
        <v>66629.930000000022</v>
      </c>
      <c r="H40" s="16">
        <v>0</v>
      </c>
      <c r="I40" s="17">
        <f t="shared" si="1"/>
        <v>66629.930000000022</v>
      </c>
      <c r="J40" s="40">
        <v>0</v>
      </c>
      <c r="K40" s="36">
        <v>0.2</v>
      </c>
      <c r="L40" s="31">
        <f t="shared" ref="L40:L59" si="9">+E40*K40</f>
        <v>44419.958000000006</v>
      </c>
      <c r="M40" s="31">
        <f t="shared" ref="M40:M59" si="10">+F40*K40</f>
        <v>31093.971999999998</v>
      </c>
      <c r="N40" s="31">
        <v>30000</v>
      </c>
      <c r="O40" s="35">
        <f t="shared" ref="O40:O59" si="11">+M40-N40</f>
        <v>1093.9719999999979</v>
      </c>
    </row>
    <row r="41" spans="2:22" ht="15.75" customHeight="1" x14ac:dyDescent="0.25">
      <c r="B41" s="10">
        <v>34</v>
      </c>
      <c r="C41" s="27" t="s">
        <v>73</v>
      </c>
      <c r="D41" s="23" t="s">
        <v>74</v>
      </c>
      <c r="E41" s="41">
        <v>222099.79439999998</v>
      </c>
      <c r="F41" s="14">
        <v>155469.85999999999</v>
      </c>
      <c r="G41" s="15">
        <f t="shared" si="5"/>
        <v>66629.934399999998</v>
      </c>
      <c r="H41" s="16">
        <v>0</v>
      </c>
      <c r="I41" s="17">
        <f t="shared" si="1"/>
        <v>66629.934399999998</v>
      </c>
      <c r="J41" s="14">
        <f>+PARALLEL!G27</f>
        <v>0</v>
      </c>
      <c r="K41" s="36">
        <v>0.2</v>
      </c>
      <c r="L41" s="31">
        <f t="shared" si="9"/>
        <v>44419.958879999998</v>
      </c>
      <c r="M41" s="31">
        <f t="shared" si="10"/>
        <v>31093.971999999998</v>
      </c>
      <c r="N41" s="31">
        <f>20000+50000</f>
        <v>70000</v>
      </c>
      <c r="O41" s="37">
        <f t="shared" si="11"/>
        <v>-38906.028000000006</v>
      </c>
    </row>
    <row r="42" spans="2:22" ht="15.75" customHeight="1" x14ac:dyDescent="0.25">
      <c r="B42" s="10">
        <v>35</v>
      </c>
      <c r="C42" s="27" t="s">
        <v>75</v>
      </c>
      <c r="D42" s="48">
        <v>555</v>
      </c>
      <c r="E42" s="41">
        <f>+'NUA INTERLOMAS'!D7</f>
        <v>81729902.489999995</v>
      </c>
      <c r="F42" s="40">
        <f>+'NUA INTERLOMAS'!D8</f>
        <v>74390372.680000007</v>
      </c>
      <c r="G42" s="15">
        <f t="shared" si="5"/>
        <v>7339529.8099999875</v>
      </c>
      <c r="H42" s="31">
        <f>+'NUA INTERLOMAS'!D10</f>
        <v>0</v>
      </c>
      <c r="I42" s="17">
        <f t="shared" si="1"/>
        <v>7339529.8099999875</v>
      </c>
      <c r="J42" s="40">
        <f>+'NUA INTERLOMAS'!G15</f>
        <v>0</v>
      </c>
      <c r="K42" s="36">
        <v>0.2</v>
      </c>
      <c r="L42" s="31">
        <f t="shared" si="9"/>
        <v>16345980.498</v>
      </c>
      <c r="M42" s="31">
        <f t="shared" si="10"/>
        <v>14878074.536000002</v>
      </c>
      <c r="N42" s="31">
        <f>1993212.5+1136307+200000+2000000+500000+652591.29+150000+600000+100000+500000+189235.15+1500000+400000+600000+500000*6+1000000+500000+280000+100000</f>
        <v>15401345.940000001</v>
      </c>
      <c r="O42" s="37">
        <f t="shared" si="11"/>
        <v>-523271.40399999917</v>
      </c>
    </row>
    <row r="43" spans="2:22" ht="15.75" customHeight="1" x14ac:dyDescent="0.25">
      <c r="B43" s="10">
        <v>36</v>
      </c>
      <c r="C43" s="27" t="s">
        <v>76</v>
      </c>
      <c r="D43" s="49" t="s">
        <v>77</v>
      </c>
      <c r="E43" s="41">
        <f>+'OCEAN CLUB INST'!D7</f>
        <v>11483544.92</v>
      </c>
      <c r="F43" s="40">
        <f>+'OCEAN CLUB INST'!D8</f>
        <v>9489984.2300000004</v>
      </c>
      <c r="G43" s="15">
        <f t="shared" si="5"/>
        <v>1993560.6899999995</v>
      </c>
      <c r="H43" s="16">
        <v>0</v>
      </c>
      <c r="I43" s="17">
        <f t="shared" si="1"/>
        <v>1993560.6899999995</v>
      </c>
      <c r="J43" s="29">
        <f>+'OCEAN CLUB INST'!G15</f>
        <v>480000</v>
      </c>
      <c r="K43" s="36">
        <v>0.2</v>
      </c>
      <c r="L43" s="31">
        <f t="shared" si="9"/>
        <v>2296708.9840000002</v>
      </c>
      <c r="M43" s="31">
        <f t="shared" si="10"/>
        <v>1897996.8460000001</v>
      </c>
      <c r="N43" s="31">
        <f>904961.13+500000</f>
        <v>1404961.13</v>
      </c>
      <c r="O43" s="35">
        <f t="shared" si="11"/>
        <v>493035.71600000025</v>
      </c>
    </row>
    <row r="44" spans="2:22" ht="15.75" customHeight="1" x14ac:dyDescent="0.25">
      <c r="B44" s="10">
        <v>37</v>
      </c>
      <c r="C44" s="27" t="s">
        <v>78</v>
      </c>
      <c r="D44" s="49" t="s">
        <v>79</v>
      </c>
      <c r="E44" s="41">
        <f>+'OCEAN CLUB MAT'!D7</f>
        <v>17197639.055599999</v>
      </c>
      <c r="F44" s="40">
        <f>+'OCEAN CLUB MAT'!D8</f>
        <v>17197636.229999997</v>
      </c>
      <c r="G44" s="15">
        <f t="shared" si="5"/>
        <v>2.8256000019609928</v>
      </c>
      <c r="H44" s="16">
        <v>0</v>
      </c>
      <c r="I44" s="17">
        <f t="shared" si="1"/>
        <v>2.8256000019609928</v>
      </c>
      <c r="J44" s="40">
        <f>+'OCEAN CLUB MAT'!G15</f>
        <v>0</v>
      </c>
      <c r="K44" s="36">
        <v>0.2</v>
      </c>
      <c r="L44" s="31">
        <f t="shared" si="9"/>
        <v>3439527.8111199997</v>
      </c>
      <c r="M44" s="31">
        <f t="shared" si="10"/>
        <v>3439527.2459999993</v>
      </c>
      <c r="N44" s="31">
        <f>1500000</f>
        <v>1500000</v>
      </c>
      <c r="O44" s="35">
        <f t="shared" si="11"/>
        <v>1939527.2459999993</v>
      </c>
    </row>
    <row r="45" spans="2:22" ht="15.75" customHeight="1" x14ac:dyDescent="0.25">
      <c r="B45" s="10">
        <v>38</v>
      </c>
      <c r="C45" s="27" t="s">
        <v>80</v>
      </c>
      <c r="D45" s="12" t="s">
        <v>81</v>
      </c>
      <c r="E45" s="41">
        <f>+PARALLEL!D7</f>
        <v>44512359.44224</v>
      </c>
      <c r="F45" s="40">
        <f>+E45</f>
        <v>44512359.44224</v>
      </c>
      <c r="G45" s="15">
        <f t="shared" si="5"/>
        <v>0</v>
      </c>
      <c r="H45" s="16">
        <v>0</v>
      </c>
      <c r="I45" s="17">
        <f t="shared" si="1"/>
        <v>0</v>
      </c>
      <c r="J45" s="14">
        <f>+PARALLEL!G15</f>
        <v>0</v>
      </c>
      <c r="K45" s="34">
        <v>0.1</v>
      </c>
      <c r="L45" s="31">
        <f t="shared" si="9"/>
        <v>4451235.944224</v>
      </c>
      <c r="M45" s="31">
        <f t="shared" si="10"/>
        <v>4451235.944224</v>
      </c>
      <c r="N45" s="31">
        <f>441985.06+1000000+89547.45</f>
        <v>1531532.51</v>
      </c>
      <c r="O45" s="35">
        <f t="shared" si="11"/>
        <v>2919703.4342240002</v>
      </c>
    </row>
    <row r="46" spans="2:22" ht="15.75" customHeight="1" x14ac:dyDescent="0.25">
      <c r="B46" s="10">
        <v>39</v>
      </c>
      <c r="C46" s="27" t="s">
        <v>82</v>
      </c>
      <c r="D46" s="23" t="s">
        <v>83</v>
      </c>
      <c r="E46" s="41">
        <f>+'PARALLEL 2025'!D7</f>
        <v>794951.41039999994</v>
      </c>
      <c r="F46" s="14">
        <f>+'PARALLEL 2025'!D8</f>
        <v>464351.41</v>
      </c>
      <c r="G46" s="15">
        <f t="shared" si="5"/>
        <v>330600.00039999996</v>
      </c>
      <c r="H46" s="16">
        <v>0</v>
      </c>
      <c r="I46" s="17">
        <f t="shared" si="1"/>
        <v>330600.00039999996</v>
      </c>
      <c r="J46" s="40">
        <f>+'PARALLEL 2025'!G15</f>
        <v>0</v>
      </c>
      <c r="K46" s="36">
        <v>0.2</v>
      </c>
      <c r="L46" s="31">
        <f t="shared" si="9"/>
        <v>158990.28208</v>
      </c>
      <c r="M46" s="31">
        <f t="shared" si="10"/>
        <v>92870.282000000007</v>
      </c>
      <c r="N46" s="31">
        <v>0</v>
      </c>
      <c r="O46" s="35">
        <f t="shared" si="11"/>
        <v>92870.282000000007</v>
      </c>
    </row>
    <row r="47" spans="2:22" ht="15.75" customHeight="1" x14ac:dyDescent="0.25">
      <c r="B47" s="10">
        <v>40</v>
      </c>
      <c r="C47" s="27" t="s">
        <v>84</v>
      </c>
      <c r="D47" s="23" t="s">
        <v>85</v>
      </c>
      <c r="E47" s="41">
        <f>+'PARALLEL HOP'!D7</f>
        <v>317799.33</v>
      </c>
      <c r="F47" s="14">
        <f>+'PARALLEL HOP'!D8</f>
        <v>188090.13</v>
      </c>
      <c r="G47" s="15">
        <f t="shared" si="5"/>
        <v>129709.20000000001</v>
      </c>
      <c r="H47" s="16">
        <v>0</v>
      </c>
      <c r="I47" s="17">
        <f t="shared" si="1"/>
        <v>129709.20000000001</v>
      </c>
      <c r="J47" s="40">
        <v>0</v>
      </c>
      <c r="K47" s="36">
        <v>0.2</v>
      </c>
      <c r="L47" s="31">
        <f t="shared" si="9"/>
        <v>63559.866000000009</v>
      </c>
      <c r="M47" s="31">
        <f t="shared" si="10"/>
        <v>37618.026000000005</v>
      </c>
      <c r="N47" s="31">
        <v>0</v>
      </c>
      <c r="O47" s="35">
        <f t="shared" si="11"/>
        <v>37618.026000000005</v>
      </c>
    </row>
    <row r="48" spans="2:22" ht="15.75" customHeight="1" x14ac:dyDescent="0.25">
      <c r="B48" s="10">
        <v>41</v>
      </c>
      <c r="C48" s="27" t="s">
        <v>319</v>
      </c>
      <c r="D48" s="23" t="s">
        <v>320</v>
      </c>
      <c r="E48" s="41">
        <v>330000</v>
      </c>
      <c r="F48" s="144">
        <v>231000</v>
      </c>
      <c r="G48" s="15">
        <f t="shared" si="5"/>
        <v>99000</v>
      </c>
      <c r="H48" s="16">
        <v>0</v>
      </c>
      <c r="I48" s="17">
        <f t="shared" si="1"/>
        <v>99000</v>
      </c>
      <c r="J48" s="29">
        <f>330000-231000</f>
        <v>99000</v>
      </c>
      <c r="K48" s="143">
        <v>0.2</v>
      </c>
      <c r="L48" s="31">
        <f t="shared" si="9"/>
        <v>66000</v>
      </c>
      <c r="M48" s="31">
        <f t="shared" si="10"/>
        <v>46200</v>
      </c>
      <c r="N48" s="31">
        <v>0</v>
      </c>
      <c r="O48" s="35">
        <f t="shared" si="11"/>
        <v>46200</v>
      </c>
    </row>
    <row r="49" spans="2:15" ht="15.75" customHeight="1" x14ac:dyDescent="0.25">
      <c r="B49" s="10">
        <v>42</v>
      </c>
      <c r="C49" s="27" t="s">
        <v>86</v>
      </c>
      <c r="D49" s="12" t="s">
        <v>87</v>
      </c>
      <c r="E49" s="41">
        <f>+'PUERTA POLANCO'!D7</f>
        <v>198456.23360000001</v>
      </c>
      <c r="F49" s="14">
        <f>+'PUERTA POLANCO'!D8</f>
        <v>145131.70000000001</v>
      </c>
      <c r="G49" s="15">
        <f t="shared" si="5"/>
        <v>53324.533599999995</v>
      </c>
      <c r="H49" s="16">
        <v>0</v>
      </c>
      <c r="I49" s="17">
        <f t="shared" si="1"/>
        <v>53324.533599999995</v>
      </c>
      <c r="J49" s="40">
        <f>+'PUERTA POLANCO'!G15</f>
        <v>0</v>
      </c>
      <c r="K49" s="34">
        <v>0.1</v>
      </c>
      <c r="L49" s="31">
        <f t="shared" si="9"/>
        <v>19845.623360000001</v>
      </c>
      <c r="M49" s="31">
        <f t="shared" si="10"/>
        <v>14513.170000000002</v>
      </c>
      <c r="N49" s="31">
        <v>0</v>
      </c>
      <c r="O49" s="35">
        <f t="shared" si="11"/>
        <v>14513.170000000002</v>
      </c>
    </row>
    <row r="50" spans="2:15" ht="15.75" customHeight="1" x14ac:dyDescent="0.25">
      <c r="B50" s="10">
        <v>43</v>
      </c>
      <c r="C50" s="39" t="s">
        <v>88</v>
      </c>
      <c r="D50" s="12" t="s">
        <v>89</v>
      </c>
      <c r="E50" s="41">
        <f>+'REFORMA 445'!D7</f>
        <v>133604000</v>
      </c>
      <c r="F50" s="14">
        <f>+'REFORMA 445'!D8</f>
        <v>94590000.079999983</v>
      </c>
      <c r="G50" s="15">
        <f t="shared" si="5"/>
        <v>39013999.920000017</v>
      </c>
      <c r="H50" s="16">
        <v>0</v>
      </c>
      <c r="I50" s="17">
        <f t="shared" si="1"/>
        <v>39013999.920000017</v>
      </c>
      <c r="J50" s="40">
        <f>+'REFORMA 445'!G15</f>
        <v>0</v>
      </c>
      <c r="K50" s="36">
        <v>0.2</v>
      </c>
      <c r="L50" s="31">
        <f t="shared" si="9"/>
        <v>26720800</v>
      </c>
      <c r="M50" s="31">
        <f t="shared" si="10"/>
        <v>18918000.015999999</v>
      </c>
      <c r="N50" s="31">
        <f>1512443+2436+66700+14189.13+112220.2+481201.16+353841.99+328283.48+904961.13+565205.06+353194.62+137808.94</f>
        <v>4832484.71</v>
      </c>
      <c r="O50" s="35">
        <f t="shared" si="11"/>
        <v>14085515.305999998</v>
      </c>
    </row>
    <row r="51" spans="2:15" ht="15.75" customHeight="1" x14ac:dyDescent="0.25">
      <c r="B51" s="10">
        <v>44</v>
      </c>
      <c r="C51" s="39" t="s">
        <v>311</v>
      </c>
      <c r="D51" s="12" t="s">
        <v>312</v>
      </c>
      <c r="E51" s="41">
        <f>+F51</f>
        <v>798000</v>
      </c>
      <c r="F51" s="142">
        <f>348000+300000+150000</f>
        <v>798000</v>
      </c>
      <c r="G51" s="15">
        <v>0</v>
      </c>
      <c r="H51" s="16">
        <v>0</v>
      </c>
      <c r="I51" s="17">
        <v>0</v>
      </c>
      <c r="J51" s="40"/>
      <c r="K51" s="143">
        <v>0</v>
      </c>
      <c r="L51" s="31">
        <f t="shared" si="9"/>
        <v>0</v>
      </c>
      <c r="M51" s="31">
        <f t="shared" ref="M51" si="12">+F51*L51</f>
        <v>0</v>
      </c>
      <c r="N51" s="31">
        <f t="shared" ref="N51" si="13">+G51*M51</f>
        <v>0</v>
      </c>
      <c r="O51" s="35">
        <f t="shared" ref="O51" si="14">+H51*N51</f>
        <v>0</v>
      </c>
    </row>
    <row r="52" spans="2:15" ht="15.75" customHeight="1" x14ac:dyDescent="0.25">
      <c r="B52" s="10">
        <v>45</v>
      </c>
      <c r="C52" s="39" t="s">
        <v>90</v>
      </c>
      <c r="D52" s="12" t="s">
        <v>91</v>
      </c>
      <c r="E52" s="41">
        <f>+'TAXCO CUERNAVACA'!D7</f>
        <v>763066.38600000006</v>
      </c>
      <c r="F52" s="50">
        <f>+'TAXCO CUERNAVACA'!D8</f>
        <v>400000</v>
      </c>
      <c r="G52" s="15">
        <f t="shared" si="5"/>
        <v>363066.38600000006</v>
      </c>
      <c r="H52" s="16">
        <v>0</v>
      </c>
      <c r="I52" s="17">
        <f t="shared" si="1"/>
        <v>363066.38600000006</v>
      </c>
      <c r="J52" s="40">
        <v>0</v>
      </c>
      <c r="K52" s="36">
        <v>0.2</v>
      </c>
      <c r="L52" s="31">
        <f t="shared" si="9"/>
        <v>152613.27720000001</v>
      </c>
      <c r="M52" s="31">
        <f t="shared" si="10"/>
        <v>80000</v>
      </c>
      <c r="N52" s="31">
        <v>0</v>
      </c>
      <c r="O52" s="35">
        <f t="shared" si="11"/>
        <v>80000</v>
      </c>
    </row>
    <row r="53" spans="2:15" ht="15.75" customHeight="1" x14ac:dyDescent="0.25">
      <c r="B53" s="10">
        <v>46</v>
      </c>
      <c r="C53" s="39" t="s">
        <v>92</v>
      </c>
      <c r="D53" s="12" t="s">
        <v>93</v>
      </c>
      <c r="E53" s="41">
        <f>+'TORRE BOSQUES'!D7</f>
        <v>268606.25919999997</v>
      </c>
      <c r="F53" s="50">
        <f>+'TORRE BOSQUES'!D8</f>
        <v>188024.38</v>
      </c>
      <c r="G53" s="15">
        <f t="shared" si="5"/>
        <v>80581.879199999967</v>
      </c>
      <c r="H53" s="16">
        <v>0</v>
      </c>
      <c r="I53" s="17">
        <f t="shared" si="1"/>
        <v>80581.879199999967</v>
      </c>
      <c r="J53" s="40">
        <v>0</v>
      </c>
      <c r="K53" s="36">
        <v>0.2</v>
      </c>
      <c r="L53" s="31">
        <f t="shared" si="9"/>
        <v>53721.251839999997</v>
      </c>
      <c r="M53" s="31">
        <f t="shared" si="10"/>
        <v>37604.876000000004</v>
      </c>
      <c r="N53" s="31">
        <v>0</v>
      </c>
      <c r="O53" s="35">
        <f t="shared" si="11"/>
        <v>37604.876000000004</v>
      </c>
    </row>
    <row r="54" spans="2:15" ht="15.75" customHeight="1" x14ac:dyDescent="0.25">
      <c r="B54" s="10">
        <v>47</v>
      </c>
      <c r="C54" s="39" t="s">
        <v>94</v>
      </c>
      <c r="D54" s="12" t="s">
        <v>95</v>
      </c>
      <c r="E54" s="41">
        <f>'T VIRREYES AUDITORIO'!D7</f>
        <v>3384631.8063999997</v>
      </c>
      <c r="F54" s="50">
        <f>'T VIRREYES AUDITORIO'!D8</f>
        <v>3384631.7600000002</v>
      </c>
      <c r="G54" s="15">
        <f t="shared" si="5"/>
        <v>4.6399999409914017E-2</v>
      </c>
      <c r="H54" s="31">
        <f>+'T VIRREYES AUDITORIO'!D10</f>
        <v>338463.17599999998</v>
      </c>
      <c r="I54" s="17">
        <f t="shared" si="1"/>
        <v>-338463.12960000057</v>
      </c>
      <c r="J54" s="40">
        <f>+'T VIRREYES AUDITORIO'!G15</f>
        <v>0</v>
      </c>
      <c r="K54" s="36">
        <v>0.2</v>
      </c>
      <c r="L54" s="31">
        <f t="shared" si="9"/>
        <v>676926.36127999995</v>
      </c>
      <c r="M54" s="31">
        <f t="shared" si="10"/>
        <v>676926.35200000007</v>
      </c>
      <c r="N54" s="31">
        <f>373776.25+50000+100000</f>
        <v>523776.25</v>
      </c>
      <c r="O54" s="35">
        <f t="shared" si="11"/>
        <v>153150.10200000007</v>
      </c>
    </row>
    <row r="55" spans="2:15" ht="15.75" customHeight="1" x14ac:dyDescent="0.25">
      <c r="B55" s="10">
        <v>48</v>
      </c>
      <c r="C55" s="27" t="s">
        <v>146</v>
      </c>
      <c r="D55" s="12" t="s">
        <v>147</v>
      </c>
      <c r="E55" s="41">
        <f>+'VIDALTA 2803'!D7</f>
        <v>470854.2892</v>
      </c>
      <c r="F55" s="50">
        <f>+'VIDALTA 2803'!D8</f>
        <v>356055.00000000006</v>
      </c>
      <c r="G55" s="15">
        <f>+E55-F55</f>
        <v>114799.28919999994</v>
      </c>
      <c r="H55" s="16">
        <v>0</v>
      </c>
      <c r="I55" s="17">
        <f>+G55-H55</f>
        <v>114799.28919999994</v>
      </c>
      <c r="J55" s="14">
        <f>+PARALLEL!G33</f>
        <v>0</v>
      </c>
      <c r="K55" s="34">
        <v>0.2</v>
      </c>
      <c r="L55" s="31">
        <f>+E55*K55</f>
        <v>94170.857840000011</v>
      </c>
      <c r="M55" s="31">
        <f>+F55*K55</f>
        <v>71211.000000000015</v>
      </c>
      <c r="N55" s="31">
        <f>50000+9928</f>
        <v>59928</v>
      </c>
      <c r="O55" s="146">
        <f>+M55-N55</f>
        <v>11283.000000000015</v>
      </c>
    </row>
    <row r="56" spans="2:15" ht="15.75" customHeight="1" x14ac:dyDescent="0.25">
      <c r="B56" s="10">
        <v>49</v>
      </c>
      <c r="C56" s="39" t="s">
        <v>96</v>
      </c>
      <c r="D56" s="12" t="s">
        <v>97</v>
      </c>
      <c r="E56" s="41">
        <f>+'VILLAS KANAI'!D7</f>
        <v>5257120</v>
      </c>
      <c r="F56" s="50">
        <f>+'VILLAS KANAI'!D8</f>
        <v>4494611.24</v>
      </c>
      <c r="G56" s="15">
        <f t="shared" si="5"/>
        <v>762508.75999999978</v>
      </c>
      <c r="H56" s="25">
        <v>0</v>
      </c>
      <c r="I56" s="17">
        <f t="shared" si="1"/>
        <v>762508.75999999978</v>
      </c>
      <c r="J56" s="14">
        <v>0</v>
      </c>
      <c r="K56" s="36">
        <v>0.2</v>
      </c>
      <c r="L56" s="31">
        <f t="shared" si="9"/>
        <v>1051424</v>
      </c>
      <c r="M56" s="31">
        <f t="shared" si="10"/>
        <v>898922.24800000014</v>
      </c>
      <c r="N56" s="31">
        <f>250000+200000+200000</f>
        <v>650000</v>
      </c>
      <c r="O56" s="35">
        <f t="shared" si="11"/>
        <v>248922.24800000014</v>
      </c>
    </row>
    <row r="57" spans="2:15" ht="15.75" customHeight="1" x14ac:dyDescent="0.25">
      <c r="B57" s="10">
        <v>50</v>
      </c>
      <c r="C57" s="39" t="s">
        <v>98</v>
      </c>
      <c r="D57" s="23" t="s">
        <v>99</v>
      </c>
      <c r="E57" s="51">
        <f>+'VILLAS KANAI 2025'!D7</f>
        <v>1552384.5463999996</v>
      </c>
      <c r="F57" s="40">
        <f>+'VILLAS KANAI 2025'!D8</f>
        <v>1426689.9000000001</v>
      </c>
      <c r="G57" s="15">
        <f t="shared" si="5"/>
        <v>125694.6463999995</v>
      </c>
      <c r="H57" s="31">
        <v>0</v>
      </c>
      <c r="I57" s="17">
        <f t="shared" si="1"/>
        <v>125694.6463999995</v>
      </c>
      <c r="J57" s="14">
        <f>+'VILLAS KANAI 2025'!G14</f>
        <v>0</v>
      </c>
      <c r="K57" s="34">
        <v>0.2</v>
      </c>
      <c r="L57" s="31">
        <f t="shared" si="9"/>
        <v>310476.90927999996</v>
      </c>
      <c r="M57" s="31">
        <f t="shared" si="10"/>
        <v>285337.98000000004</v>
      </c>
      <c r="N57" s="31">
        <v>100000</v>
      </c>
      <c r="O57" s="35">
        <f t="shared" si="11"/>
        <v>185337.98000000004</v>
      </c>
    </row>
    <row r="58" spans="2:15" ht="15.75" customHeight="1" x14ac:dyDescent="0.25">
      <c r="B58" s="10">
        <v>51</v>
      </c>
      <c r="C58" s="39" t="s">
        <v>100</v>
      </c>
      <c r="D58" s="23" t="s">
        <v>101</v>
      </c>
      <c r="E58" s="51">
        <f>+'VOLCAN 150'!D7</f>
        <v>116534.3192</v>
      </c>
      <c r="F58" s="40">
        <f>+'VOLCAN 150'!F41</f>
        <v>0</v>
      </c>
      <c r="G58" s="52">
        <f t="shared" si="5"/>
        <v>116534.3192</v>
      </c>
      <c r="H58" s="31">
        <v>0</v>
      </c>
      <c r="I58" s="17">
        <f t="shared" si="1"/>
        <v>116534.3192</v>
      </c>
      <c r="J58" s="14">
        <f>+'VOLCAN 150'!G14</f>
        <v>0</v>
      </c>
      <c r="K58" s="34">
        <v>0.2</v>
      </c>
      <c r="L58" s="25">
        <f t="shared" si="9"/>
        <v>23306.863840000002</v>
      </c>
      <c r="M58" s="25">
        <f t="shared" si="10"/>
        <v>0</v>
      </c>
      <c r="N58" s="25">
        <v>0</v>
      </c>
      <c r="O58" s="26">
        <f t="shared" si="11"/>
        <v>0</v>
      </c>
    </row>
    <row r="59" spans="2:15" ht="15.75" customHeight="1" x14ac:dyDescent="0.25">
      <c r="B59" s="10">
        <v>52</v>
      </c>
      <c r="C59" s="39" t="s">
        <v>102</v>
      </c>
      <c r="D59" s="23" t="s">
        <v>103</v>
      </c>
      <c r="E59" s="53">
        <f>+'WESTIN GDL '!D7</f>
        <v>435811.99999999994</v>
      </c>
      <c r="F59" s="14">
        <f>+'WESTIN GDL '!D8</f>
        <v>305068.40000000002</v>
      </c>
      <c r="G59" s="15">
        <f t="shared" si="5"/>
        <v>130743.59999999992</v>
      </c>
      <c r="H59" s="16">
        <v>0</v>
      </c>
      <c r="I59" s="17">
        <f t="shared" si="1"/>
        <v>130743.59999999992</v>
      </c>
      <c r="J59" s="29">
        <f>+'WESTIN GDL '!G14</f>
        <v>130743.6</v>
      </c>
      <c r="K59" s="54">
        <v>0.2</v>
      </c>
      <c r="L59" s="55">
        <f t="shared" si="9"/>
        <v>87162.4</v>
      </c>
      <c r="M59" s="55">
        <f t="shared" si="10"/>
        <v>61013.680000000008</v>
      </c>
      <c r="N59" s="55">
        <f>37263.19+20000</f>
        <v>57263.19</v>
      </c>
      <c r="O59" s="56">
        <f t="shared" si="11"/>
        <v>3750.4900000000052</v>
      </c>
    </row>
    <row r="60" spans="2:15" ht="15.75" customHeight="1" x14ac:dyDescent="0.25">
      <c r="B60" s="57"/>
      <c r="C60" s="58" t="s">
        <v>104</v>
      </c>
      <c r="D60" s="59"/>
      <c r="E60" s="60">
        <f>SUM(E10:E59)</f>
        <v>1101722430.1719363</v>
      </c>
      <c r="F60" s="60">
        <f>SUM(F10:F59)</f>
        <v>890908674.42519176</v>
      </c>
      <c r="G60" s="60">
        <f>SUM(G10:G59)</f>
        <v>209434341.55674413</v>
      </c>
      <c r="H60" s="60">
        <f>SUM(H10:H59)</f>
        <v>35016047.859276004</v>
      </c>
      <c r="I60" s="60">
        <f>SUM(I10:I59)</f>
        <v>174418293.69746819</v>
      </c>
      <c r="J60" s="61">
        <f>SUM(J8:J59)</f>
        <v>11836732.244827</v>
      </c>
      <c r="K60" s="62"/>
      <c r="L60" s="63">
        <f>SUM(L10:L59)</f>
        <v>184316422.10441288</v>
      </c>
      <c r="M60" s="63">
        <f>SUM(M10:M59)</f>
        <v>145646411.34097132</v>
      </c>
      <c r="N60" s="63">
        <f>SUM(N10:N59)</f>
        <v>88072565.809999987</v>
      </c>
      <c r="O60" s="64">
        <f>SUM(O10:O59)</f>
        <v>69384565.480971366</v>
      </c>
    </row>
    <row r="61" spans="2:15" ht="15.75" customHeight="1" x14ac:dyDescent="0.25">
      <c r="D61" s="1"/>
      <c r="E61" s="1"/>
      <c r="F61" s="6"/>
      <c r="G61" s="1"/>
      <c r="H61" s="6"/>
      <c r="I61" s="65">
        <f>+I60+H60</f>
        <v>209434341.55674419</v>
      </c>
      <c r="J61" s="66"/>
      <c r="L61" s="6"/>
      <c r="O61" s="6"/>
    </row>
    <row r="62" spans="2:15" ht="15.75" customHeight="1" x14ac:dyDescent="0.25">
      <c r="D62" s="1"/>
      <c r="E62" s="1"/>
      <c r="F62" s="1"/>
      <c r="G62" s="1"/>
      <c r="H62" s="1"/>
      <c r="I62" s="1"/>
      <c r="J62" s="6"/>
      <c r="L62" s="6"/>
      <c r="O62" s="6"/>
    </row>
    <row r="63" spans="2:15" ht="15.75" customHeight="1" x14ac:dyDescent="0.25">
      <c r="D63" s="1"/>
      <c r="E63" s="1"/>
      <c r="F63" s="1"/>
      <c r="G63" s="1"/>
      <c r="H63" s="1"/>
      <c r="I63" s="1"/>
      <c r="J63" s="6"/>
      <c r="L63" s="6"/>
      <c r="O63" s="6"/>
    </row>
    <row r="64" spans="2:15" ht="15.75" customHeight="1" x14ac:dyDescent="0.25">
      <c r="C64" s="67" t="s">
        <v>105</v>
      </c>
      <c r="D64" s="1"/>
      <c r="E64" s="1"/>
      <c r="F64" s="1"/>
      <c r="G64" s="1"/>
      <c r="H64" s="1"/>
      <c r="I64" s="1"/>
      <c r="L64" s="6"/>
      <c r="O64" s="6"/>
    </row>
    <row r="65" spans="2:15" ht="33.75" customHeight="1" x14ac:dyDescent="0.25">
      <c r="B65" s="7" t="s">
        <v>4</v>
      </c>
      <c r="C65" s="8" t="s">
        <v>5</v>
      </c>
      <c r="D65" s="7" t="s">
        <v>6</v>
      </c>
      <c r="E65" s="7" t="s">
        <v>7</v>
      </c>
      <c r="F65" s="8" t="s">
        <v>8</v>
      </c>
      <c r="G65" s="7" t="s">
        <v>9</v>
      </c>
      <c r="H65" s="7" t="s">
        <v>10</v>
      </c>
      <c r="I65" s="9" t="s">
        <v>11</v>
      </c>
      <c r="J65" s="9" t="s">
        <v>12</v>
      </c>
      <c r="K65" s="8" t="s">
        <v>13</v>
      </c>
      <c r="L65" s="9" t="s">
        <v>14</v>
      </c>
      <c r="M65" s="9" t="s">
        <v>15</v>
      </c>
      <c r="N65" s="9" t="s">
        <v>16</v>
      </c>
      <c r="O65" s="8" t="s">
        <v>17</v>
      </c>
    </row>
    <row r="66" spans="2:15" ht="15.75" customHeight="1" x14ac:dyDescent="0.25">
      <c r="B66" s="10">
        <v>1</v>
      </c>
      <c r="C66" s="22" t="s">
        <v>106</v>
      </c>
      <c r="D66" s="23" t="s">
        <v>107</v>
      </c>
      <c r="E66" s="13">
        <f>+BANBAJIO!D7</f>
        <v>696000</v>
      </c>
      <c r="F66" s="14">
        <v>522000</v>
      </c>
      <c r="G66" s="15">
        <f t="shared" ref="G66:G75" si="15">+E66-F66</f>
        <v>174000</v>
      </c>
      <c r="H66" s="16">
        <v>0</v>
      </c>
      <c r="I66" s="17">
        <f t="shared" ref="I66:I89" si="16">+G66-H66</f>
        <v>174000</v>
      </c>
      <c r="J66" s="14">
        <f>+BANBAJIO!G15</f>
        <v>0</v>
      </c>
      <c r="K66" s="34">
        <v>0.3</v>
      </c>
      <c r="L66" s="31">
        <f t="shared" ref="L66:L89" si="17">+E66*K66</f>
        <v>208800</v>
      </c>
      <c r="M66" s="31">
        <f t="shared" ref="M66:M89" si="18">+F66*K66</f>
        <v>156600</v>
      </c>
      <c r="N66" s="31">
        <f>50000+50000</f>
        <v>100000</v>
      </c>
      <c r="O66" s="35">
        <f t="shared" ref="O66:O89" si="19">+M66-N66</f>
        <v>56600</v>
      </c>
    </row>
    <row r="67" spans="2:15" ht="15.75" customHeight="1" x14ac:dyDescent="0.25">
      <c r="B67" s="10">
        <v>2</v>
      </c>
      <c r="C67" s="68" t="s">
        <v>108</v>
      </c>
      <c r="D67" s="48">
        <v>399</v>
      </c>
      <c r="E67" s="13">
        <f>+'BEITI MUESTRA'!D7</f>
        <v>130408.4</v>
      </c>
      <c r="F67" s="14">
        <f>+'BEITI MUESTRA'!D8</f>
        <v>91285.88</v>
      </c>
      <c r="G67" s="15">
        <f t="shared" si="15"/>
        <v>39122.51999999999</v>
      </c>
      <c r="H67" s="16">
        <v>0</v>
      </c>
      <c r="I67" s="17">
        <f t="shared" si="16"/>
        <v>39122.51999999999</v>
      </c>
      <c r="J67" s="17">
        <f>+BEITI!H17</f>
        <v>0</v>
      </c>
      <c r="K67" s="34">
        <v>0.2</v>
      </c>
      <c r="L67" s="31">
        <f t="shared" si="17"/>
        <v>26081.68</v>
      </c>
      <c r="M67" s="31">
        <f t="shared" si="18"/>
        <v>18257.176000000003</v>
      </c>
      <c r="N67" s="31">
        <v>0</v>
      </c>
      <c r="O67" s="35">
        <f t="shared" si="19"/>
        <v>18257.176000000003</v>
      </c>
    </row>
    <row r="68" spans="2:15" ht="15.75" customHeight="1" x14ac:dyDescent="0.25">
      <c r="B68" s="10">
        <v>3</v>
      </c>
      <c r="C68" s="42" t="s">
        <v>109</v>
      </c>
      <c r="D68" s="28" t="s">
        <v>110</v>
      </c>
      <c r="E68" s="13">
        <v>53528.849599999994</v>
      </c>
      <c r="F68" s="40">
        <v>37470.19</v>
      </c>
      <c r="G68" s="15">
        <f t="shared" si="15"/>
        <v>16058.659599999992</v>
      </c>
      <c r="H68" s="31">
        <v>0</v>
      </c>
      <c r="I68" s="17">
        <f t="shared" si="16"/>
        <v>16058.659599999992</v>
      </c>
      <c r="J68" s="14">
        <f>+PARALLEL!G30</f>
        <v>0</v>
      </c>
      <c r="K68" s="34">
        <v>0</v>
      </c>
      <c r="L68" s="31">
        <f t="shared" si="17"/>
        <v>0</v>
      </c>
      <c r="M68" s="31">
        <f t="shared" si="18"/>
        <v>0</v>
      </c>
      <c r="N68" s="31">
        <v>0</v>
      </c>
      <c r="O68" s="35">
        <f t="shared" si="19"/>
        <v>0</v>
      </c>
    </row>
    <row r="69" spans="2:15" ht="15.75" customHeight="1" x14ac:dyDescent="0.25">
      <c r="B69" s="10">
        <v>4</v>
      </c>
      <c r="C69" s="27" t="s">
        <v>111</v>
      </c>
      <c r="D69" s="23" t="s">
        <v>112</v>
      </c>
      <c r="E69" s="13">
        <f>+'COLIMA 426'!D7</f>
        <v>426201.95</v>
      </c>
      <c r="F69" s="40">
        <f>+'COLIMA 426'!D8</f>
        <v>298341.36</v>
      </c>
      <c r="G69" s="15">
        <f t="shared" si="15"/>
        <v>127860.59000000003</v>
      </c>
      <c r="H69" s="31">
        <v>0</v>
      </c>
      <c r="I69" s="17">
        <f t="shared" si="16"/>
        <v>127860.59000000003</v>
      </c>
      <c r="J69" s="14">
        <f>+BEITI!H19</f>
        <v>0</v>
      </c>
      <c r="K69" s="34">
        <v>0.2</v>
      </c>
      <c r="L69" s="31">
        <f t="shared" si="17"/>
        <v>85240.390000000014</v>
      </c>
      <c r="M69" s="31">
        <f t="shared" si="18"/>
        <v>59668.271999999997</v>
      </c>
      <c r="N69" s="31">
        <v>0</v>
      </c>
      <c r="O69" s="35">
        <f t="shared" si="19"/>
        <v>59668.271999999997</v>
      </c>
    </row>
    <row r="70" spans="2:15" ht="15.75" customHeight="1" x14ac:dyDescent="0.25">
      <c r="B70" s="10">
        <v>6</v>
      </c>
      <c r="C70" s="42" t="s">
        <v>115</v>
      </c>
      <c r="D70" s="33" t="s">
        <v>116</v>
      </c>
      <c r="E70" s="13">
        <f>+'EDITION KANAI X-TREME'!D7</f>
        <v>27519817.959999997</v>
      </c>
      <c r="F70" s="40">
        <f>+'EDITION KANAI X-TREME'!D8</f>
        <v>26992713.600000001</v>
      </c>
      <c r="G70" s="15">
        <f t="shared" si="15"/>
        <v>527104.35999999568</v>
      </c>
      <c r="H70" s="31">
        <v>0</v>
      </c>
      <c r="I70" s="17">
        <f t="shared" si="16"/>
        <v>527104.35999999568</v>
      </c>
      <c r="J70" s="17">
        <f>+BEITI!H23</f>
        <v>0</v>
      </c>
      <c r="K70" s="34">
        <v>0.3</v>
      </c>
      <c r="L70" s="31">
        <f t="shared" si="17"/>
        <v>8255945.3879999984</v>
      </c>
      <c r="M70" s="31">
        <f t="shared" si="18"/>
        <v>8097814.0800000001</v>
      </c>
      <c r="N70" s="31">
        <f>100000*17+200000+575000+500000+773193.43+34714.2+2059168.13+89656.2+636568.55+378169.27+33518.2+179579.22+200000+300000+200000</f>
        <v>7859567.1999999993</v>
      </c>
      <c r="O70" s="35">
        <f t="shared" si="19"/>
        <v>238246.88000000082</v>
      </c>
    </row>
    <row r="71" spans="2:15" ht="15.75" customHeight="1" x14ac:dyDescent="0.25">
      <c r="B71" s="10">
        <v>7</v>
      </c>
      <c r="C71" s="42" t="s">
        <v>117</v>
      </c>
      <c r="D71" s="12" t="s">
        <v>118</v>
      </c>
      <c r="E71" s="13">
        <f>+'EDITION KANAI'!D7</f>
        <v>43754583.225813262</v>
      </c>
      <c r="F71" s="40">
        <f>+'EDITION KANAI'!D8</f>
        <v>41364024.487800017</v>
      </c>
      <c r="G71" s="15">
        <f t="shared" si="15"/>
        <v>2390558.7380132452</v>
      </c>
      <c r="H71" s="31">
        <f>+'EDITION KANAI'!D10</f>
        <v>2187729.1612906633</v>
      </c>
      <c r="I71" s="17">
        <f t="shared" si="16"/>
        <v>202829.57672258187</v>
      </c>
      <c r="J71" s="14">
        <f>+BEITI!H22</f>
        <v>0</v>
      </c>
      <c r="K71" s="34">
        <v>0</v>
      </c>
      <c r="L71" s="31">
        <f t="shared" si="17"/>
        <v>0</v>
      </c>
      <c r="M71" s="31">
        <f t="shared" si="18"/>
        <v>0</v>
      </c>
      <c r="N71" s="31">
        <f>71369+962.26</f>
        <v>72331.259999999995</v>
      </c>
      <c r="O71" s="37">
        <f t="shared" si="19"/>
        <v>-72331.259999999995</v>
      </c>
    </row>
    <row r="72" spans="2:15" ht="15.75" customHeight="1" x14ac:dyDescent="0.25">
      <c r="B72" s="10">
        <v>8</v>
      </c>
      <c r="C72" s="27" t="s">
        <v>119</v>
      </c>
      <c r="D72" s="12" t="s">
        <v>120</v>
      </c>
      <c r="E72" s="13">
        <v>4858114.799999998</v>
      </c>
      <c r="F72" s="14">
        <v>4858114.799999998</v>
      </c>
      <c r="G72" s="15">
        <f t="shared" si="15"/>
        <v>0</v>
      </c>
      <c r="H72" s="16">
        <v>0</v>
      </c>
      <c r="I72" s="17">
        <f t="shared" si="16"/>
        <v>0</v>
      </c>
      <c r="J72" s="14">
        <f>+PARALLEL!G16</f>
        <v>0</v>
      </c>
      <c r="K72" s="34">
        <v>0.2</v>
      </c>
      <c r="L72" s="31">
        <f t="shared" si="17"/>
        <v>971622.95999999961</v>
      </c>
      <c r="M72" s="31">
        <f t="shared" si="18"/>
        <v>971622.95999999961</v>
      </c>
      <c r="N72" s="31">
        <f>50000+200000+100000+15533.02+100000+100000+8053.72*17.5+250000+11082.6</f>
        <v>967555.72</v>
      </c>
      <c r="O72" s="35">
        <f t="shared" si="19"/>
        <v>4067.2399999996414</v>
      </c>
    </row>
    <row r="73" spans="2:15" ht="15.75" customHeight="1" x14ac:dyDescent="0.25">
      <c r="B73" s="10">
        <v>9</v>
      </c>
      <c r="C73" s="27" t="s">
        <v>121</v>
      </c>
      <c r="D73" s="12" t="s">
        <v>50</v>
      </c>
      <c r="E73" s="13">
        <v>764672.39439999987</v>
      </c>
      <c r="F73" s="14">
        <v>573347.80000000005</v>
      </c>
      <c r="G73" s="15">
        <f t="shared" si="15"/>
        <v>191324.59439999983</v>
      </c>
      <c r="H73" s="16">
        <v>0</v>
      </c>
      <c r="I73" s="17">
        <f t="shared" si="16"/>
        <v>191324.59439999983</v>
      </c>
      <c r="J73" s="14">
        <f>+PARALLEL!G19</f>
        <v>0</v>
      </c>
      <c r="K73" s="34">
        <v>0.2</v>
      </c>
      <c r="L73" s="31">
        <f t="shared" si="17"/>
        <v>152934.47887999998</v>
      </c>
      <c r="M73" s="31">
        <f t="shared" si="18"/>
        <v>114669.56000000001</v>
      </c>
      <c r="N73" s="31">
        <v>0</v>
      </c>
      <c r="O73" s="35">
        <f t="shared" si="19"/>
        <v>114669.56000000001</v>
      </c>
    </row>
    <row r="74" spans="2:15" ht="15.75" customHeight="1" x14ac:dyDescent="0.25">
      <c r="B74" s="10">
        <v>10</v>
      </c>
      <c r="C74" s="27" t="s">
        <v>122</v>
      </c>
      <c r="D74" s="12" t="s">
        <v>123</v>
      </c>
      <c r="E74" s="13">
        <v>447777.7132</v>
      </c>
      <c r="F74" s="14">
        <v>348000</v>
      </c>
      <c r="G74" s="15">
        <f t="shared" si="15"/>
        <v>99777.713199999998</v>
      </c>
      <c r="H74" s="16">
        <v>0</v>
      </c>
      <c r="I74" s="17">
        <f t="shared" si="16"/>
        <v>99777.713199999998</v>
      </c>
      <c r="J74" s="14">
        <f>+PARALLEL!G20</f>
        <v>0</v>
      </c>
      <c r="K74" s="34">
        <v>0.2</v>
      </c>
      <c r="L74" s="31">
        <f t="shared" si="17"/>
        <v>89555.54264</v>
      </c>
      <c r="M74" s="31">
        <f t="shared" si="18"/>
        <v>69600</v>
      </c>
      <c r="N74" s="31">
        <v>261864.01</v>
      </c>
      <c r="O74" s="37">
        <f t="shared" si="19"/>
        <v>-192264.01</v>
      </c>
    </row>
    <row r="75" spans="2:15" ht="15.75" customHeight="1" x14ac:dyDescent="0.25">
      <c r="B75" s="10">
        <v>11</v>
      </c>
      <c r="C75" s="27" t="s">
        <v>124</v>
      </c>
      <c r="D75" s="12" t="s">
        <v>125</v>
      </c>
      <c r="E75" s="13">
        <v>79950000</v>
      </c>
      <c r="F75" s="14">
        <v>79950000.00999999</v>
      </c>
      <c r="G75" s="15">
        <f t="shared" si="15"/>
        <v>-9.9999904632568359E-3</v>
      </c>
      <c r="H75" s="16">
        <v>0</v>
      </c>
      <c r="I75" s="17">
        <f t="shared" si="16"/>
        <v>-9.9999904632568359E-3</v>
      </c>
      <c r="J75" s="14">
        <f>+PARALLEL!G21</f>
        <v>0</v>
      </c>
      <c r="K75" s="34">
        <v>0.1325829</v>
      </c>
      <c r="L75" s="31">
        <f t="shared" si="17"/>
        <v>10600002.855</v>
      </c>
      <c r="M75" s="31">
        <f t="shared" si="18"/>
        <v>10600002.856325828</v>
      </c>
      <c r="N75" s="31">
        <f>1393226.06+1000000+1700000+1000000+600000+1127556.22+136406.82+1800000+1000000+2000000</f>
        <v>11757189.100000001</v>
      </c>
      <c r="O75" s="37">
        <f t="shared" si="19"/>
        <v>-1157186.243674174</v>
      </c>
    </row>
    <row r="76" spans="2:15" ht="15.75" customHeight="1" x14ac:dyDescent="0.25">
      <c r="B76" s="10">
        <v>12</v>
      </c>
      <c r="C76" s="27" t="s">
        <v>126</v>
      </c>
      <c r="D76" s="12" t="s">
        <v>127</v>
      </c>
      <c r="E76" s="13">
        <v>10000000</v>
      </c>
      <c r="F76" s="14">
        <v>10000000</v>
      </c>
      <c r="G76" s="15">
        <v>0</v>
      </c>
      <c r="H76" s="16">
        <v>0</v>
      </c>
      <c r="I76" s="17">
        <f t="shared" si="16"/>
        <v>0</v>
      </c>
      <c r="J76" s="14">
        <f>+PARALLEL!G22</f>
        <v>0</v>
      </c>
      <c r="K76" s="34">
        <v>0</v>
      </c>
      <c r="L76" s="31">
        <f t="shared" si="17"/>
        <v>0</v>
      </c>
      <c r="M76" s="31">
        <f t="shared" si="18"/>
        <v>0</v>
      </c>
      <c r="N76" s="31">
        <v>0</v>
      </c>
      <c r="O76" s="35">
        <f t="shared" si="19"/>
        <v>0</v>
      </c>
    </row>
    <row r="77" spans="2:15" ht="15.75" customHeight="1" x14ac:dyDescent="0.25">
      <c r="B77" s="10">
        <v>13</v>
      </c>
      <c r="C77" s="27" t="s">
        <v>128</v>
      </c>
      <c r="D77" s="12" t="s">
        <v>129</v>
      </c>
      <c r="E77" s="13">
        <v>32699175.109999999</v>
      </c>
      <c r="F77" s="14">
        <v>32699175.859999999</v>
      </c>
      <c r="G77" s="15">
        <v>-0.75</v>
      </c>
      <c r="H77" s="16">
        <v>0</v>
      </c>
      <c r="I77" s="17">
        <f t="shared" si="16"/>
        <v>-0.75</v>
      </c>
      <c r="J77" s="14">
        <f>+PARALLEL!G23</f>
        <v>0</v>
      </c>
      <c r="K77" s="34">
        <v>0.2</v>
      </c>
      <c r="L77" s="31">
        <f t="shared" si="17"/>
        <v>6539835.0219999999</v>
      </c>
      <c r="M77" s="31">
        <f t="shared" si="18"/>
        <v>6539835.1720000003</v>
      </c>
      <c r="N77" s="31">
        <f>1500000+1300000+500000+500000+500000+600000+2000000+1012745.41+250000</f>
        <v>8162745.4100000001</v>
      </c>
      <c r="O77" s="37">
        <f t="shared" si="19"/>
        <v>-1622910.2379999999</v>
      </c>
    </row>
    <row r="78" spans="2:15" ht="15.75" customHeight="1" x14ac:dyDescent="0.25">
      <c r="B78" s="10">
        <v>14</v>
      </c>
      <c r="C78" s="27" t="s">
        <v>130</v>
      </c>
      <c r="D78" s="12" t="s">
        <v>131</v>
      </c>
      <c r="E78" s="69">
        <f>+MIRALTA!D7</f>
        <v>82516469.251599997</v>
      </c>
      <c r="F78" s="14">
        <f>+MIRALTA!D8</f>
        <v>81186447.219999999</v>
      </c>
      <c r="G78" s="15">
        <f t="shared" ref="G78:G89" si="20">+E78-F78</f>
        <v>1330022.0315999985</v>
      </c>
      <c r="H78" s="16">
        <v>0</v>
      </c>
      <c r="I78" s="17">
        <f t="shared" si="16"/>
        <v>1330022.0315999985</v>
      </c>
      <c r="J78" s="14">
        <v>0</v>
      </c>
      <c r="K78" s="34">
        <v>0</v>
      </c>
      <c r="L78" s="31">
        <f t="shared" si="17"/>
        <v>0</v>
      </c>
      <c r="M78" s="31">
        <f t="shared" si="18"/>
        <v>0</v>
      </c>
      <c r="N78" s="31">
        <f>150000+146868+100000</f>
        <v>396868</v>
      </c>
      <c r="O78" s="37">
        <f t="shared" si="19"/>
        <v>-396868</v>
      </c>
    </row>
    <row r="79" spans="2:15" ht="15.75" customHeight="1" x14ac:dyDescent="0.25">
      <c r="B79" s="10">
        <v>15</v>
      </c>
      <c r="C79" s="27" t="s">
        <v>132</v>
      </c>
      <c r="D79" s="12" t="s">
        <v>133</v>
      </c>
      <c r="E79" s="13">
        <v>817455.28279999993</v>
      </c>
      <c r="F79" s="14">
        <v>556000</v>
      </c>
      <c r="G79" s="15">
        <f t="shared" si="20"/>
        <v>261455.28279999993</v>
      </c>
      <c r="H79" s="16">
        <v>0</v>
      </c>
      <c r="I79" s="17">
        <f t="shared" si="16"/>
        <v>261455.28279999993</v>
      </c>
      <c r="J79" s="14">
        <f>+PARALLEL!G17</f>
        <v>0</v>
      </c>
      <c r="K79" s="34">
        <v>0.2</v>
      </c>
      <c r="L79" s="31">
        <f t="shared" si="17"/>
        <v>163491.05656</v>
      </c>
      <c r="M79" s="31">
        <f t="shared" si="18"/>
        <v>111200</v>
      </c>
      <c r="N79" s="31">
        <v>0</v>
      </c>
      <c r="O79" s="35">
        <f t="shared" si="19"/>
        <v>111200</v>
      </c>
    </row>
    <row r="80" spans="2:15" ht="15.75" customHeight="1" x14ac:dyDescent="0.25">
      <c r="B80" s="10">
        <v>16</v>
      </c>
      <c r="C80" s="27" t="s">
        <v>134</v>
      </c>
      <c r="D80" s="12" t="s">
        <v>135</v>
      </c>
      <c r="E80" s="13">
        <v>534423.1128</v>
      </c>
      <c r="F80" s="14">
        <v>534423.1128</v>
      </c>
      <c r="G80" s="15">
        <f t="shared" si="20"/>
        <v>0</v>
      </c>
      <c r="H80" s="16">
        <v>0</v>
      </c>
      <c r="I80" s="17">
        <f t="shared" si="16"/>
        <v>0</v>
      </c>
      <c r="J80" s="14">
        <f>+PARALLEL!G24</f>
        <v>0</v>
      </c>
      <c r="K80" s="36">
        <v>0.2</v>
      </c>
      <c r="L80" s="31">
        <f t="shared" si="17"/>
        <v>106884.62256</v>
      </c>
      <c r="M80" s="31">
        <f t="shared" si="18"/>
        <v>106884.62256</v>
      </c>
      <c r="N80" s="31">
        <f>100000+57684.67</f>
        <v>157684.66999999998</v>
      </c>
      <c r="O80" s="37">
        <f t="shared" si="19"/>
        <v>-50800.04743999998</v>
      </c>
    </row>
    <row r="81" spans="2:15" ht="15.75" customHeight="1" x14ac:dyDescent="0.25">
      <c r="B81" s="10">
        <v>17</v>
      </c>
      <c r="C81" s="27" t="s">
        <v>136</v>
      </c>
      <c r="D81" s="12" t="s">
        <v>137</v>
      </c>
      <c r="E81" s="13">
        <v>1218000</v>
      </c>
      <c r="F81" s="14">
        <v>883049.06</v>
      </c>
      <c r="G81" s="15">
        <f t="shared" si="20"/>
        <v>334950.93999999994</v>
      </c>
      <c r="H81" s="16">
        <v>0</v>
      </c>
      <c r="I81" s="17">
        <f t="shared" si="16"/>
        <v>334950.93999999994</v>
      </c>
      <c r="J81" s="14">
        <f>+PARALLEL!G31</f>
        <v>0</v>
      </c>
      <c r="K81" s="36">
        <v>0</v>
      </c>
      <c r="L81" s="31">
        <f t="shared" si="17"/>
        <v>0</v>
      </c>
      <c r="M81" s="31">
        <f t="shared" si="18"/>
        <v>0</v>
      </c>
      <c r="N81" s="31">
        <v>0</v>
      </c>
      <c r="O81" s="35">
        <f t="shared" si="19"/>
        <v>0</v>
      </c>
    </row>
    <row r="82" spans="2:15" ht="15.75" customHeight="1" x14ac:dyDescent="0.25">
      <c r="B82" s="10">
        <v>18</v>
      </c>
      <c r="C82" s="27" t="s">
        <v>138</v>
      </c>
      <c r="D82" s="12" t="s">
        <v>139</v>
      </c>
      <c r="E82" s="69">
        <f>+'ST REGIS '!D7</f>
        <v>86969392.659999996</v>
      </c>
      <c r="F82" s="14">
        <f>+'ST REGIS '!D8</f>
        <v>81568963.359999925</v>
      </c>
      <c r="G82" s="15">
        <f t="shared" si="20"/>
        <v>5400429.3000000715</v>
      </c>
      <c r="H82" s="16">
        <f>+'ST REGIS '!D10</f>
        <v>4348469.6330000004</v>
      </c>
      <c r="I82" s="17">
        <f t="shared" si="16"/>
        <v>1051959.6670000711</v>
      </c>
      <c r="J82" s="14">
        <v>0</v>
      </c>
      <c r="K82" s="70">
        <v>0</v>
      </c>
      <c r="L82" s="31">
        <f t="shared" si="17"/>
        <v>0</v>
      </c>
      <c r="M82" s="31">
        <f t="shared" si="18"/>
        <v>0</v>
      </c>
      <c r="N82" s="31">
        <v>0</v>
      </c>
      <c r="O82" s="35">
        <f t="shared" si="19"/>
        <v>0</v>
      </c>
    </row>
    <row r="83" spans="2:15" ht="15.75" customHeight="1" x14ac:dyDescent="0.25">
      <c r="B83" s="10">
        <v>19</v>
      </c>
      <c r="C83" s="27" t="s">
        <v>140</v>
      </c>
      <c r="D83" s="12" t="s">
        <v>141</v>
      </c>
      <c r="E83" s="13">
        <v>184662.0472</v>
      </c>
      <c r="F83" s="14">
        <v>0</v>
      </c>
      <c r="G83" s="15">
        <f t="shared" si="20"/>
        <v>184662.0472</v>
      </c>
      <c r="H83" s="16">
        <v>0</v>
      </c>
      <c r="I83" s="17">
        <f t="shared" si="16"/>
        <v>184662.0472</v>
      </c>
      <c r="J83" s="14">
        <f>+PARALLEL!G32</f>
        <v>0</v>
      </c>
      <c r="K83" s="34">
        <v>0</v>
      </c>
      <c r="L83" s="31">
        <f t="shared" si="17"/>
        <v>0</v>
      </c>
      <c r="M83" s="31">
        <f t="shared" si="18"/>
        <v>0</v>
      </c>
      <c r="N83" s="31">
        <v>0</v>
      </c>
      <c r="O83" s="35">
        <f t="shared" si="19"/>
        <v>0</v>
      </c>
    </row>
    <row r="84" spans="2:15" ht="15.75" customHeight="1" x14ac:dyDescent="0.25">
      <c r="B84" s="10">
        <v>20</v>
      </c>
      <c r="C84" s="39" t="s">
        <v>142</v>
      </c>
      <c r="D84" s="33" t="s">
        <v>143</v>
      </c>
      <c r="E84" s="69">
        <f>+'T CHAPULTEPEC'!D7</f>
        <v>64889.46</v>
      </c>
      <c r="F84" s="14">
        <f>+'T CHAPULTEPEC'!D8</f>
        <v>64890.46</v>
      </c>
      <c r="G84" s="15">
        <f t="shared" si="20"/>
        <v>-1</v>
      </c>
      <c r="H84" s="16">
        <v>0</v>
      </c>
      <c r="I84" s="17">
        <f t="shared" si="16"/>
        <v>-1</v>
      </c>
      <c r="J84" s="14">
        <f>+'T CHAPULTEPEC'!G15</f>
        <v>0</v>
      </c>
      <c r="K84" s="34">
        <v>0.2</v>
      </c>
      <c r="L84" s="31">
        <f t="shared" si="17"/>
        <v>12977.892</v>
      </c>
      <c r="M84" s="31">
        <f t="shared" si="18"/>
        <v>12978.092000000001</v>
      </c>
      <c r="N84" s="31">
        <v>0</v>
      </c>
      <c r="O84" s="35">
        <f t="shared" si="19"/>
        <v>12978.092000000001</v>
      </c>
    </row>
    <row r="85" spans="2:15" ht="15.75" customHeight="1" x14ac:dyDescent="0.25">
      <c r="B85" s="10">
        <v>21</v>
      </c>
      <c r="C85" s="39" t="s">
        <v>144</v>
      </c>
      <c r="D85" s="12" t="s">
        <v>145</v>
      </c>
      <c r="E85" s="69">
        <f>+'T REFORMA MTTO'!D7</f>
        <v>12166.54</v>
      </c>
      <c r="F85" s="14">
        <v>0</v>
      </c>
      <c r="G85" s="15">
        <f t="shared" si="20"/>
        <v>12166.54</v>
      </c>
      <c r="H85" s="16">
        <v>0</v>
      </c>
      <c r="I85" s="17">
        <f t="shared" si="16"/>
        <v>12166.54</v>
      </c>
      <c r="J85" s="29">
        <f>+'T REFORMA MTTO'!G15</f>
        <v>12166.54</v>
      </c>
      <c r="K85" s="34">
        <v>0.2</v>
      </c>
      <c r="L85" s="31">
        <f t="shared" si="17"/>
        <v>2433.3080000000004</v>
      </c>
      <c r="M85" s="31">
        <f t="shared" si="18"/>
        <v>0</v>
      </c>
      <c r="N85" s="31">
        <f>18207.4+100000</f>
        <v>118207.4</v>
      </c>
      <c r="O85" s="37">
        <f t="shared" si="19"/>
        <v>-118207.4</v>
      </c>
    </row>
    <row r="86" spans="2:15" ht="15.75" customHeight="1" x14ac:dyDescent="0.25">
      <c r="B86" s="10">
        <v>23</v>
      </c>
      <c r="C86" s="27" t="s">
        <v>148</v>
      </c>
      <c r="D86" s="12" t="s">
        <v>149</v>
      </c>
      <c r="E86" s="44">
        <v>4259779.0532879997</v>
      </c>
      <c r="F86" s="40">
        <v>3890500.1899999995</v>
      </c>
      <c r="G86" s="15">
        <f t="shared" si="20"/>
        <v>369278.86328800023</v>
      </c>
      <c r="H86" s="16">
        <v>0</v>
      </c>
      <c r="I86" s="17">
        <f t="shared" si="16"/>
        <v>369278.86328800023</v>
      </c>
      <c r="J86" s="14">
        <f>+PARALLEL!G28</f>
        <v>0</v>
      </c>
      <c r="K86" s="34">
        <v>0.1</v>
      </c>
      <c r="L86" s="31">
        <f t="shared" si="17"/>
        <v>425977.90532879997</v>
      </c>
      <c r="M86" s="31">
        <f t="shared" si="18"/>
        <v>389050.01899999997</v>
      </c>
      <c r="N86" s="31">
        <v>0</v>
      </c>
      <c r="O86" s="35">
        <f t="shared" si="19"/>
        <v>389050.01899999997</v>
      </c>
    </row>
    <row r="87" spans="2:15" ht="15.75" customHeight="1" x14ac:dyDescent="0.25">
      <c r="B87" s="10">
        <v>24</v>
      </c>
      <c r="C87" s="27" t="s">
        <v>150</v>
      </c>
      <c r="D87" s="28" t="s">
        <v>149</v>
      </c>
      <c r="E87" s="45">
        <v>911935.22959999996</v>
      </c>
      <c r="F87" s="50">
        <v>940379.42</v>
      </c>
      <c r="G87" s="15">
        <f t="shared" si="20"/>
        <v>-28444.19040000008</v>
      </c>
      <c r="H87" s="16">
        <v>0</v>
      </c>
      <c r="I87" s="17">
        <f t="shared" si="16"/>
        <v>-28444.19040000008</v>
      </c>
      <c r="J87" s="14">
        <f>+PARALLEL!G29</f>
        <v>0</v>
      </c>
      <c r="K87" s="34">
        <v>0.1</v>
      </c>
      <c r="L87" s="31">
        <f t="shared" si="17"/>
        <v>91193.522960000002</v>
      </c>
      <c r="M87" s="31">
        <f t="shared" si="18"/>
        <v>94037.94200000001</v>
      </c>
      <c r="N87" s="31">
        <f>30000+123409.63</f>
        <v>153409.63</v>
      </c>
      <c r="O87" s="37">
        <f t="shared" si="19"/>
        <v>-59371.687999999995</v>
      </c>
    </row>
    <row r="88" spans="2:15" ht="15.75" customHeight="1" x14ac:dyDescent="0.25">
      <c r="B88" s="10">
        <v>25</v>
      </c>
      <c r="C88" s="27" t="s">
        <v>151</v>
      </c>
      <c r="D88" s="12" t="s">
        <v>152</v>
      </c>
      <c r="E88" s="45">
        <v>118759.66320000001</v>
      </c>
      <c r="F88" s="50">
        <v>81200</v>
      </c>
      <c r="G88" s="15">
        <f t="shared" si="20"/>
        <v>37559.66320000001</v>
      </c>
      <c r="H88" s="16">
        <v>0</v>
      </c>
      <c r="I88" s="17">
        <f t="shared" si="16"/>
        <v>37559.66320000001</v>
      </c>
      <c r="J88" s="14">
        <f>+PARALLEL!G34</f>
        <v>0</v>
      </c>
      <c r="K88" s="34">
        <v>0</v>
      </c>
      <c r="L88" s="31">
        <f t="shared" si="17"/>
        <v>0</v>
      </c>
      <c r="M88" s="31">
        <f t="shared" si="18"/>
        <v>0</v>
      </c>
      <c r="N88" s="31">
        <v>0</v>
      </c>
      <c r="O88" s="35">
        <f t="shared" si="19"/>
        <v>0</v>
      </c>
    </row>
    <row r="89" spans="2:15" ht="15.75" customHeight="1" x14ac:dyDescent="0.25">
      <c r="B89" s="10">
        <v>26</v>
      </c>
      <c r="C89" s="71" t="s">
        <v>153</v>
      </c>
      <c r="D89" s="12" t="s">
        <v>154</v>
      </c>
      <c r="E89" s="41">
        <f>+VTLUX!D7</f>
        <v>130112466.35330001</v>
      </c>
      <c r="F89" s="50">
        <f>+VTLUX!D8</f>
        <v>129709712.73486701</v>
      </c>
      <c r="G89" s="15">
        <f t="shared" si="20"/>
        <v>402753.61843299866</v>
      </c>
      <c r="H89" s="31">
        <v>0</v>
      </c>
      <c r="I89" s="17">
        <f t="shared" si="16"/>
        <v>402753.61843299866</v>
      </c>
      <c r="J89" s="35">
        <v>0</v>
      </c>
      <c r="K89" s="34">
        <v>0</v>
      </c>
      <c r="L89" s="31">
        <f t="shared" si="17"/>
        <v>0</v>
      </c>
      <c r="M89" s="31">
        <f t="shared" si="18"/>
        <v>0</v>
      </c>
      <c r="N89" s="31">
        <v>0</v>
      </c>
      <c r="O89" s="35">
        <f t="shared" si="19"/>
        <v>0</v>
      </c>
    </row>
    <row r="90" spans="2:15" ht="15.75" customHeight="1" x14ac:dyDescent="0.25">
      <c r="B90" s="57"/>
      <c r="C90" s="58" t="s">
        <v>104</v>
      </c>
      <c r="D90" s="59"/>
      <c r="E90" s="72">
        <f>SUM(E67:E89)</f>
        <v>508324679.05680132</v>
      </c>
      <c r="F90" s="60">
        <f>SUM(F67:F89)</f>
        <v>496628039.54546702</v>
      </c>
      <c r="G90" s="60">
        <f>SUM(G67:G89)</f>
        <v>11696639.511334319</v>
      </c>
      <c r="H90" s="60">
        <f>SUM(H67:H89)</f>
        <v>6536198.7942906637</v>
      </c>
      <c r="I90" s="60">
        <f>SUM(I67:I89)</f>
        <v>5160440.7170436559</v>
      </c>
      <c r="J90" s="60">
        <f>SUM(J18:J89)</f>
        <v>23022929.499653999</v>
      </c>
      <c r="K90" s="57"/>
      <c r="L90" s="73">
        <f t="shared" ref="L90:O90" si="21">SUM(L8:L89)</f>
        <v>397085020.83275461</v>
      </c>
      <c r="M90" s="73">
        <f t="shared" si="21"/>
        <v>319097543.43382841</v>
      </c>
      <c r="N90" s="73">
        <f t="shared" si="21"/>
        <v>206477739.49999991</v>
      </c>
      <c r="O90" s="74">
        <f t="shared" si="21"/>
        <v>136241243.8338286</v>
      </c>
    </row>
    <row r="91" spans="2:15" ht="15.75" customHeight="1" x14ac:dyDescent="0.25">
      <c r="D91" s="1"/>
      <c r="E91" s="1"/>
      <c r="F91" s="1"/>
      <c r="G91" s="1"/>
      <c r="H91" s="1"/>
      <c r="I91" s="65">
        <f>+I90+H90</f>
        <v>11696639.511334319</v>
      </c>
      <c r="J91" s="6"/>
    </row>
    <row r="92" spans="2:15" ht="15.75" customHeight="1" x14ac:dyDescent="0.25">
      <c r="D92" s="1"/>
      <c r="E92" s="1"/>
      <c r="F92" s="1"/>
      <c r="G92" s="1"/>
      <c r="H92" s="1"/>
      <c r="I92" s="1"/>
    </row>
    <row r="93" spans="2:15" ht="15.75" customHeight="1" x14ac:dyDescent="0.25">
      <c r="D93" s="1"/>
      <c r="E93" s="1"/>
      <c r="F93" s="1"/>
      <c r="G93" s="1"/>
      <c r="H93" s="1"/>
      <c r="I93" s="1"/>
    </row>
    <row r="94" spans="2:15" ht="15.75" customHeight="1" x14ac:dyDescent="0.25">
      <c r="D94" s="1"/>
      <c r="E94" s="1"/>
      <c r="F94" s="1"/>
      <c r="G94" s="1"/>
      <c r="H94" s="1"/>
      <c r="I94" s="1"/>
    </row>
    <row r="95" spans="2:15" ht="15.75" customHeight="1" x14ac:dyDescent="0.25">
      <c r="D95" s="1"/>
      <c r="E95" s="1"/>
      <c r="F95" s="1"/>
      <c r="G95" s="1"/>
      <c r="H95" s="1"/>
      <c r="I95" s="1"/>
    </row>
    <row r="96" spans="2:15" ht="15.75" customHeight="1" x14ac:dyDescent="0.25">
      <c r="D96" s="1"/>
      <c r="E96" s="1"/>
      <c r="F96" s="1"/>
      <c r="G96" s="1"/>
      <c r="H96" s="1"/>
      <c r="I96" s="1"/>
    </row>
    <row r="97" spans="4:9" ht="15.75" customHeight="1" x14ac:dyDescent="0.25">
      <c r="D97" s="1"/>
      <c r="E97" s="1"/>
      <c r="F97" s="1"/>
      <c r="G97" s="1"/>
      <c r="H97" s="1"/>
      <c r="I97" s="1"/>
    </row>
    <row r="98" spans="4:9" ht="15.75" customHeight="1" x14ac:dyDescent="0.25">
      <c r="D98" s="1"/>
      <c r="E98" s="1"/>
      <c r="F98" s="1"/>
      <c r="G98" s="1"/>
      <c r="H98" s="1"/>
      <c r="I98" s="1"/>
    </row>
    <row r="99" spans="4:9" ht="15.75" customHeight="1" x14ac:dyDescent="0.25">
      <c r="D99" s="1"/>
      <c r="E99" s="1"/>
      <c r="F99" s="1"/>
      <c r="G99" s="1"/>
      <c r="H99" s="1"/>
      <c r="I99" s="1"/>
    </row>
    <row r="100" spans="4:9" ht="15.75" customHeight="1" x14ac:dyDescent="0.25">
      <c r="D100" s="1"/>
      <c r="E100" s="1"/>
      <c r="F100" s="1"/>
      <c r="G100" s="1"/>
      <c r="H100" s="1"/>
      <c r="I100" s="1"/>
    </row>
    <row r="101" spans="4:9" ht="15.75" customHeight="1" x14ac:dyDescent="0.25">
      <c r="D101" s="1"/>
      <c r="E101" s="1"/>
      <c r="F101" s="1"/>
      <c r="G101" s="1"/>
      <c r="H101" s="1"/>
      <c r="I101" s="1"/>
    </row>
    <row r="102" spans="4:9" ht="15.75" customHeight="1" x14ac:dyDescent="0.25">
      <c r="D102" s="1"/>
      <c r="E102" s="1"/>
      <c r="F102" s="1"/>
      <c r="G102" s="1"/>
      <c r="H102" s="1"/>
      <c r="I102" s="1"/>
    </row>
    <row r="103" spans="4:9" ht="15.75" customHeight="1" x14ac:dyDescent="0.25">
      <c r="D103" s="1"/>
      <c r="E103" s="1"/>
      <c r="F103" s="1"/>
      <c r="G103" s="1"/>
      <c r="H103" s="1"/>
      <c r="I103" s="1"/>
    </row>
    <row r="104" spans="4:9" ht="15.75" customHeight="1" x14ac:dyDescent="0.25">
      <c r="D104" s="1"/>
      <c r="E104" s="1"/>
      <c r="F104" s="1"/>
      <c r="G104" s="1"/>
      <c r="H104" s="1"/>
      <c r="I104" s="1"/>
    </row>
    <row r="105" spans="4:9" ht="15.75" customHeight="1" x14ac:dyDescent="0.25">
      <c r="D105" s="1"/>
      <c r="E105" s="1"/>
      <c r="F105" s="1"/>
      <c r="G105" s="1"/>
      <c r="H105" s="1"/>
      <c r="I105" s="1"/>
    </row>
    <row r="106" spans="4:9" ht="15.75" customHeight="1" x14ac:dyDescent="0.25">
      <c r="D106" s="1"/>
      <c r="E106" s="1"/>
      <c r="F106" s="1"/>
      <c r="G106" s="1"/>
      <c r="H106" s="1"/>
      <c r="I106" s="1"/>
    </row>
    <row r="107" spans="4:9" ht="15.75" customHeight="1" x14ac:dyDescent="0.25">
      <c r="D107" s="1"/>
      <c r="E107" s="1"/>
      <c r="F107" s="1"/>
      <c r="G107" s="1"/>
      <c r="H107" s="1"/>
      <c r="I107" s="1"/>
    </row>
    <row r="108" spans="4:9" ht="15.75" customHeight="1" x14ac:dyDescent="0.25">
      <c r="D108" s="1"/>
      <c r="E108" s="1"/>
      <c r="F108" s="1"/>
      <c r="G108" s="1"/>
      <c r="H108" s="1"/>
      <c r="I108" s="1"/>
    </row>
    <row r="109" spans="4:9" ht="15.75" customHeight="1" x14ac:dyDescent="0.25">
      <c r="D109" s="1"/>
      <c r="E109" s="1"/>
      <c r="F109" s="1"/>
      <c r="G109" s="1"/>
      <c r="H109" s="1"/>
      <c r="I109" s="1"/>
    </row>
    <row r="110" spans="4:9" ht="15.75" customHeight="1" x14ac:dyDescent="0.25">
      <c r="D110" s="1"/>
      <c r="E110" s="1"/>
      <c r="F110" s="1"/>
      <c r="G110" s="1"/>
      <c r="H110" s="1"/>
      <c r="I110" s="1"/>
    </row>
    <row r="111" spans="4:9" ht="15.75" customHeight="1" x14ac:dyDescent="0.25">
      <c r="D111" s="1"/>
      <c r="E111" s="1"/>
      <c r="F111" s="1"/>
      <c r="G111" s="1"/>
      <c r="H111" s="1"/>
      <c r="I111" s="1"/>
    </row>
    <row r="112" spans="4:9" ht="15.75" customHeight="1" x14ac:dyDescent="0.25">
      <c r="D112" s="1"/>
      <c r="E112" s="1"/>
      <c r="F112" s="1"/>
      <c r="G112" s="1"/>
      <c r="H112" s="1"/>
      <c r="I112" s="1"/>
    </row>
    <row r="113" spans="4:9" ht="15.75" customHeight="1" x14ac:dyDescent="0.25">
      <c r="D113" s="1"/>
      <c r="E113" s="1"/>
      <c r="F113" s="1"/>
      <c r="G113" s="1"/>
      <c r="H113" s="1"/>
      <c r="I113" s="1"/>
    </row>
    <row r="114" spans="4:9" ht="15.75" customHeight="1" x14ac:dyDescent="0.25">
      <c r="D114" s="1"/>
      <c r="E114" s="1"/>
      <c r="F114" s="1"/>
      <c r="G114" s="1"/>
      <c r="H114" s="1"/>
      <c r="I114" s="1"/>
    </row>
    <row r="115" spans="4:9" ht="15.75" customHeight="1" x14ac:dyDescent="0.25">
      <c r="D115" s="1"/>
      <c r="E115" s="1"/>
      <c r="F115" s="1"/>
      <c r="G115" s="1"/>
      <c r="H115" s="1"/>
      <c r="I115" s="1"/>
    </row>
    <row r="116" spans="4:9" ht="15.75" customHeight="1" x14ac:dyDescent="0.25">
      <c r="D116" s="1"/>
      <c r="E116" s="1"/>
      <c r="F116" s="1"/>
      <c r="G116" s="1"/>
      <c r="H116" s="1"/>
      <c r="I116" s="1"/>
    </row>
    <row r="117" spans="4:9" ht="15.75" customHeight="1" x14ac:dyDescent="0.25">
      <c r="D117" s="1"/>
      <c r="E117" s="1"/>
      <c r="F117" s="1"/>
      <c r="G117" s="1"/>
      <c r="H117" s="1"/>
      <c r="I117" s="1"/>
    </row>
    <row r="118" spans="4:9" ht="15.75" customHeight="1" x14ac:dyDescent="0.25">
      <c r="D118" s="1"/>
      <c r="E118" s="1"/>
      <c r="F118" s="1"/>
      <c r="G118" s="1"/>
      <c r="H118" s="1"/>
      <c r="I118" s="1"/>
    </row>
    <row r="119" spans="4:9" ht="15.75" customHeight="1" x14ac:dyDescent="0.25">
      <c r="D119" s="1"/>
      <c r="E119" s="1"/>
      <c r="F119" s="1"/>
      <c r="G119" s="1"/>
      <c r="H119" s="1"/>
      <c r="I119" s="1"/>
    </row>
    <row r="120" spans="4:9" ht="15.75" customHeight="1" x14ac:dyDescent="0.25">
      <c r="D120" s="1"/>
      <c r="E120" s="1"/>
      <c r="F120" s="1"/>
      <c r="G120" s="1"/>
      <c r="H120" s="1"/>
      <c r="I120" s="1"/>
    </row>
    <row r="121" spans="4:9" ht="15.75" customHeight="1" x14ac:dyDescent="0.25">
      <c r="D121" s="1"/>
      <c r="E121" s="1"/>
      <c r="F121" s="1"/>
      <c r="G121" s="1"/>
      <c r="H121" s="1"/>
      <c r="I121" s="1"/>
    </row>
    <row r="122" spans="4:9" ht="15.75" customHeight="1" x14ac:dyDescent="0.25">
      <c r="D122" s="1"/>
      <c r="E122" s="1"/>
      <c r="F122" s="1"/>
      <c r="G122" s="1"/>
      <c r="H122" s="1"/>
      <c r="I122" s="1"/>
    </row>
    <row r="123" spans="4:9" ht="15.75" customHeight="1" x14ac:dyDescent="0.25">
      <c r="D123" s="1"/>
      <c r="E123" s="1"/>
      <c r="F123" s="1"/>
      <c r="G123" s="1"/>
      <c r="H123" s="1"/>
      <c r="I123" s="1"/>
    </row>
    <row r="124" spans="4:9" ht="15.75" customHeight="1" x14ac:dyDescent="0.25">
      <c r="D124" s="1"/>
      <c r="E124" s="1"/>
      <c r="F124" s="1"/>
      <c r="G124" s="1"/>
      <c r="H124" s="1"/>
      <c r="I124" s="1"/>
    </row>
    <row r="125" spans="4:9" ht="15.75" customHeight="1" x14ac:dyDescent="0.25">
      <c r="D125" s="1"/>
      <c r="E125" s="1"/>
      <c r="F125" s="1"/>
      <c r="G125" s="1"/>
      <c r="H125" s="1"/>
      <c r="I125" s="1"/>
    </row>
    <row r="126" spans="4:9" ht="15.75" customHeight="1" x14ac:dyDescent="0.25">
      <c r="D126" s="1"/>
      <c r="E126" s="1"/>
      <c r="F126" s="1"/>
      <c r="G126" s="1"/>
      <c r="H126" s="1"/>
      <c r="I126" s="1"/>
    </row>
    <row r="127" spans="4:9" ht="15.75" customHeight="1" x14ac:dyDescent="0.25">
      <c r="D127" s="1"/>
      <c r="E127" s="1"/>
      <c r="F127" s="1"/>
      <c r="G127" s="1"/>
      <c r="H127" s="1"/>
      <c r="I127" s="1"/>
    </row>
    <row r="128" spans="4:9" ht="15.75" customHeight="1" x14ac:dyDescent="0.25">
      <c r="D128" s="1"/>
      <c r="E128" s="1"/>
      <c r="F128" s="1"/>
      <c r="G128" s="1"/>
      <c r="H128" s="1"/>
      <c r="I128" s="1"/>
    </row>
    <row r="129" spans="4:9" ht="15.75" customHeight="1" x14ac:dyDescent="0.25">
      <c r="D129" s="1"/>
      <c r="E129" s="1"/>
      <c r="F129" s="1"/>
      <c r="G129" s="1"/>
      <c r="H129" s="1"/>
      <c r="I129" s="1"/>
    </row>
    <row r="130" spans="4:9" ht="15.75" customHeight="1" x14ac:dyDescent="0.25">
      <c r="D130" s="1"/>
      <c r="E130" s="1"/>
      <c r="F130" s="1"/>
      <c r="G130" s="1"/>
      <c r="H130" s="1"/>
      <c r="I130" s="1"/>
    </row>
    <row r="131" spans="4:9" ht="15.75" customHeight="1" x14ac:dyDescent="0.25">
      <c r="D131" s="1"/>
      <c r="E131" s="1"/>
      <c r="F131" s="1"/>
      <c r="G131" s="1"/>
      <c r="H131" s="1"/>
      <c r="I131" s="1"/>
    </row>
    <row r="132" spans="4:9" ht="15.75" customHeight="1" x14ac:dyDescent="0.25">
      <c r="D132" s="1"/>
      <c r="E132" s="1"/>
      <c r="F132" s="1"/>
      <c r="G132" s="1"/>
      <c r="H132" s="1"/>
      <c r="I132" s="1"/>
    </row>
    <row r="133" spans="4:9" ht="15.75" customHeight="1" x14ac:dyDescent="0.25">
      <c r="D133" s="1"/>
      <c r="E133" s="1"/>
      <c r="F133" s="1"/>
      <c r="G133" s="1"/>
      <c r="H133" s="1"/>
      <c r="I133" s="1"/>
    </row>
    <row r="134" spans="4:9" ht="15.75" customHeight="1" x14ac:dyDescent="0.25">
      <c r="D134" s="1"/>
      <c r="E134" s="1"/>
      <c r="F134" s="1"/>
      <c r="G134" s="1"/>
      <c r="H134" s="1"/>
      <c r="I134" s="1"/>
    </row>
    <row r="135" spans="4:9" ht="15.75" customHeight="1" x14ac:dyDescent="0.25">
      <c r="D135" s="1"/>
      <c r="E135" s="1"/>
      <c r="F135" s="1"/>
      <c r="G135" s="1"/>
      <c r="H135" s="1"/>
      <c r="I135" s="1"/>
    </row>
    <row r="136" spans="4:9" ht="15.75" customHeight="1" x14ac:dyDescent="0.25">
      <c r="D136" s="1"/>
      <c r="E136" s="1"/>
      <c r="F136" s="1"/>
      <c r="G136" s="1"/>
      <c r="H136" s="1"/>
      <c r="I136" s="1"/>
    </row>
    <row r="137" spans="4:9" ht="15.75" customHeight="1" x14ac:dyDescent="0.25">
      <c r="D137" s="1"/>
      <c r="E137" s="1"/>
      <c r="F137" s="1"/>
      <c r="G137" s="1"/>
      <c r="H137" s="1"/>
      <c r="I137" s="1"/>
    </row>
    <row r="138" spans="4:9" ht="15.75" customHeight="1" x14ac:dyDescent="0.25">
      <c r="D138" s="1"/>
      <c r="E138" s="1"/>
      <c r="F138" s="1"/>
      <c r="G138" s="1"/>
      <c r="H138" s="1"/>
      <c r="I138" s="1"/>
    </row>
    <row r="139" spans="4:9" ht="15.75" customHeight="1" x14ac:dyDescent="0.25">
      <c r="D139" s="1"/>
      <c r="E139" s="1"/>
      <c r="F139" s="1"/>
      <c r="G139" s="1"/>
      <c r="H139" s="1"/>
      <c r="I139" s="1"/>
    </row>
    <row r="140" spans="4:9" ht="15.75" customHeight="1" x14ac:dyDescent="0.25">
      <c r="D140" s="1"/>
      <c r="E140" s="1"/>
      <c r="F140" s="1"/>
      <c r="G140" s="1"/>
      <c r="H140" s="1"/>
      <c r="I140" s="1"/>
    </row>
    <row r="141" spans="4:9" ht="15.75" customHeight="1" x14ac:dyDescent="0.25">
      <c r="D141" s="1"/>
      <c r="E141" s="1"/>
      <c r="F141" s="1"/>
      <c r="G141" s="1"/>
      <c r="H141" s="1"/>
      <c r="I141" s="1"/>
    </row>
    <row r="142" spans="4:9" ht="15.75" customHeight="1" x14ac:dyDescent="0.25">
      <c r="D142" s="1"/>
      <c r="E142" s="1"/>
      <c r="F142" s="1"/>
      <c r="G142" s="1"/>
      <c r="H142" s="1"/>
      <c r="I142" s="1"/>
    </row>
    <row r="143" spans="4:9" ht="15.75" customHeight="1" x14ac:dyDescent="0.25">
      <c r="D143" s="1"/>
      <c r="E143" s="1"/>
      <c r="F143" s="1"/>
      <c r="G143" s="1"/>
      <c r="H143" s="1"/>
      <c r="I143" s="1"/>
    </row>
    <row r="144" spans="4:9" ht="15.75" customHeight="1" x14ac:dyDescent="0.25">
      <c r="D144" s="1"/>
      <c r="E144" s="1"/>
      <c r="F144" s="1"/>
      <c r="G144" s="1"/>
      <c r="H144" s="1"/>
      <c r="I144" s="1"/>
    </row>
    <row r="145" spans="4:9" ht="15.75" customHeight="1" x14ac:dyDescent="0.25">
      <c r="D145" s="1"/>
      <c r="E145" s="1"/>
      <c r="F145" s="1"/>
      <c r="G145" s="1"/>
      <c r="H145" s="1"/>
      <c r="I145" s="1"/>
    </row>
    <row r="146" spans="4:9" ht="15.75" customHeight="1" x14ac:dyDescent="0.25">
      <c r="D146" s="1"/>
      <c r="E146" s="1"/>
      <c r="F146" s="1"/>
      <c r="G146" s="1"/>
      <c r="H146" s="1"/>
      <c r="I146" s="1"/>
    </row>
    <row r="147" spans="4:9" ht="15.75" customHeight="1" x14ac:dyDescent="0.25">
      <c r="D147" s="1"/>
      <c r="E147" s="1"/>
      <c r="F147" s="1"/>
      <c r="G147" s="1"/>
      <c r="H147" s="1"/>
      <c r="I147" s="1"/>
    </row>
    <row r="148" spans="4:9" ht="15.75" customHeight="1" x14ac:dyDescent="0.25">
      <c r="D148" s="1"/>
      <c r="E148" s="1"/>
      <c r="F148" s="1"/>
      <c r="G148" s="1"/>
      <c r="H148" s="1"/>
      <c r="I148" s="1"/>
    </row>
    <row r="149" spans="4:9" ht="15.75" customHeight="1" x14ac:dyDescent="0.25">
      <c r="D149" s="1"/>
      <c r="E149" s="1"/>
      <c r="F149" s="1"/>
      <c r="G149" s="1"/>
      <c r="H149" s="1"/>
      <c r="I149" s="1"/>
    </row>
    <row r="150" spans="4:9" ht="15.75" customHeight="1" x14ac:dyDescent="0.25">
      <c r="D150" s="1"/>
      <c r="E150" s="1"/>
      <c r="F150" s="1"/>
      <c r="G150" s="1"/>
      <c r="H150" s="1"/>
      <c r="I150" s="1"/>
    </row>
    <row r="151" spans="4:9" ht="15.75" customHeight="1" x14ac:dyDescent="0.25">
      <c r="D151" s="1"/>
      <c r="E151" s="1"/>
      <c r="F151" s="1"/>
      <c r="G151" s="1"/>
      <c r="H151" s="1"/>
      <c r="I151" s="1"/>
    </row>
    <row r="152" spans="4:9" ht="15.75" customHeight="1" x14ac:dyDescent="0.25">
      <c r="D152" s="1"/>
      <c r="E152" s="1"/>
      <c r="F152" s="1"/>
      <c r="G152" s="1"/>
      <c r="H152" s="1"/>
      <c r="I152" s="1"/>
    </row>
    <row r="153" spans="4:9" ht="15.75" customHeight="1" x14ac:dyDescent="0.25">
      <c r="D153" s="1"/>
      <c r="E153" s="1"/>
      <c r="F153" s="1"/>
      <c r="G153" s="1"/>
      <c r="H153" s="1"/>
      <c r="I153" s="1"/>
    </row>
    <row r="154" spans="4:9" ht="15.75" customHeight="1" x14ac:dyDescent="0.25">
      <c r="D154" s="1"/>
      <c r="E154" s="1"/>
      <c r="F154" s="1"/>
      <c r="G154" s="1"/>
      <c r="H154" s="1"/>
      <c r="I154" s="1"/>
    </row>
    <row r="155" spans="4:9" ht="15.75" customHeight="1" x14ac:dyDescent="0.25">
      <c r="D155" s="1"/>
      <c r="E155" s="1"/>
      <c r="F155" s="1"/>
      <c r="G155" s="1"/>
      <c r="H155" s="1"/>
      <c r="I155" s="1"/>
    </row>
    <row r="156" spans="4:9" ht="15.75" customHeight="1" x14ac:dyDescent="0.25">
      <c r="D156" s="1"/>
      <c r="E156" s="1"/>
      <c r="F156" s="1"/>
      <c r="G156" s="1"/>
      <c r="H156" s="1"/>
      <c r="I156" s="1"/>
    </row>
    <row r="157" spans="4:9" ht="15.75" customHeight="1" x14ac:dyDescent="0.25">
      <c r="D157" s="1"/>
      <c r="E157" s="1"/>
      <c r="F157" s="1"/>
      <c r="G157" s="1"/>
      <c r="H157" s="1"/>
      <c r="I157" s="1"/>
    </row>
    <row r="158" spans="4:9" ht="15.75" customHeight="1" x14ac:dyDescent="0.25">
      <c r="D158" s="1"/>
      <c r="E158" s="1"/>
      <c r="F158" s="1"/>
      <c r="G158" s="1"/>
      <c r="H158" s="1"/>
      <c r="I158" s="1"/>
    </row>
    <row r="159" spans="4:9" ht="15.75" customHeight="1" x14ac:dyDescent="0.25">
      <c r="D159" s="1"/>
      <c r="E159" s="1"/>
      <c r="F159" s="1"/>
      <c r="G159" s="1"/>
      <c r="H159" s="1"/>
      <c r="I159" s="1"/>
    </row>
    <row r="160" spans="4:9" ht="15.75" customHeight="1" x14ac:dyDescent="0.25">
      <c r="D160" s="1"/>
      <c r="E160" s="1"/>
      <c r="F160" s="1"/>
      <c r="G160" s="1"/>
      <c r="H160" s="1"/>
      <c r="I160" s="1"/>
    </row>
    <row r="161" spans="4:9" ht="15.75" customHeight="1" x14ac:dyDescent="0.25">
      <c r="D161" s="1"/>
      <c r="E161" s="1"/>
      <c r="F161" s="1"/>
      <c r="G161" s="1"/>
      <c r="H161" s="1"/>
      <c r="I161" s="1"/>
    </row>
    <row r="162" spans="4:9" ht="15.75" customHeight="1" x14ac:dyDescent="0.25">
      <c r="D162" s="1"/>
      <c r="E162" s="1"/>
      <c r="F162" s="1"/>
      <c r="G162" s="1"/>
      <c r="H162" s="1"/>
      <c r="I162" s="1"/>
    </row>
    <row r="163" spans="4:9" ht="15.75" customHeight="1" x14ac:dyDescent="0.25">
      <c r="D163" s="1"/>
      <c r="E163" s="1"/>
      <c r="F163" s="1"/>
      <c r="G163" s="1"/>
      <c r="H163" s="1"/>
      <c r="I163" s="1"/>
    </row>
    <row r="164" spans="4:9" ht="15.75" customHeight="1" x14ac:dyDescent="0.25">
      <c r="D164" s="1"/>
      <c r="E164" s="1"/>
      <c r="F164" s="1"/>
      <c r="G164" s="1"/>
      <c r="H164" s="1"/>
      <c r="I164" s="1"/>
    </row>
    <row r="165" spans="4:9" ht="15.75" customHeight="1" x14ac:dyDescent="0.25">
      <c r="D165" s="1"/>
      <c r="E165" s="1"/>
      <c r="F165" s="1"/>
      <c r="G165" s="1"/>
      <c r="H165" s="1"/>
      <c r="I165" s="1"/>
    </row>
    <row r="166" spans="4:9" ht="15.75" customHeight="1" x14ac:dyDescent="0.25">
      <c r="D166" s="1"/>
      <c r="E166" s="1"/>
      <c r="F166" s="1"/>
      <c r="G166" s="1"/>
      <c r="H166" s="1"/>
      <c r="I166" s="1"/>
    </row>
    <row r="167" spans="4:9" ht="15.75" customHeight="1" x14ac:dyDescent="0.25">
      <c r="D167" s="1"/>
      <c r="E167" s="1"/>
      <c r="F167" s="1"/>
      <c r="G167" s="1"/>
      <c r="H167" s="1"/>
      <c r="I167" s="1"/>
    </row>
    <row r="168" spans="4:9" ht="15.75" customHeight="1" x14ac:dyDescent="0.25">
      <c r="D168" s="1"/>
      <c r="E168" s="1"/>
      <c r="F168" s="1"/>
      <c r="G168" s="1"/>
      <c r="H168" s="1"/>
      <c r="I168" s="1"/>
    </row>
    <row r="169" spans="4:9" ht="15.75" customHeight="1" x14ac:dyDescent="0.25">
      <c r="D169" s="1"/>
      <c r="E169" s="1"/>
      <c r="F169" s="1"/>
      <c r="G169" s="1"/>
      <c r="H169" s="1"/>
      <c r="I169" s="1"/>
    </row>
    <row r="170" spans="4:9" ht="15.75" customHeight="1" x14ac:dyDescent="0.25">
      <c r="D170" s="1"/>
      <c r="E170" s="1"/>
      <c r="F170" s="1"/>
      <c r="G170" s="1"/>
      <c r="H170" s="1"/>
      <c r="I170" s="1"/>
    </row>
    <row r="171" spans="4:9" ht="15.75" customHeight="1" x14ac:dyDescent="0.25">
      <c r="D171" s="1"/>
      <c r="E171" s="1"/>
      <c r="F171" s="1"/>
      <c r="G171" s="1"/>
      <c r="H171" s="1"/>
      <c r="I171" s="1"/>
    </row>
    <row r="172" spans="4:9" ht="15.75" customHeight="1" x14ac:dyDescent="0.25">
      <c r="D172" s="1"/>
      <c r="E172" s="1"/>
      <c r="F172" s="1"/>
      <c r="G172" s="1"/>
      <c r="H172" s="1"/>
      <c r="I172" s="1"/>
    </row>
    <row r="173" spans="4:9" ht="15.75" customHeight="1" x14ac:dyDescent="0.25">
      <c r="D173" s="1"/>
      <c r="E173" s="1"/>
      <c r="F173" s="1"/>
      <c r="G173" s="1"/>
      <c r="H173" s="1"/>
      <c r="I173" s="1"/>
    </row>
    <row r="174" spans="4:9" ht="15.75" customHeight="1" x14ac:dyDescent="0.25">
      <c r="D174" s="1"/>
      <c r="E174" s="1"/>
      <c r="F174" s="1"/>
      <c r="G174" s="1"/>
      <c r="H174" s="1"/>
      <c r="I174" s="1"/>
    </row>
    <row r="175" spans="4:9" ht="15.75" customHeight="1" x14ac:dyDescent="0.25">
      <c r="D175" s="1"/>
      <c r="E175" s="1"/>
      <c r="F175" s="1"/>
      <c r="G175" s="1"/>
      <c r="H175" s="1"/>
      <c r="I175" s="1"/>
    </row>
    <row r="176" spans="4:9" ht="15.75" customHeight="1" x14ac:dyDescent="0.25">
      <c r="D176" s="1"/>
      <c r="E176" s="1"/>
      <c r="F176" s="1"/>
      <c r="G176" s="1"/>
      <c r="H176" s="1"/>
      <c r="I176" s="1"/>
    </row>
    <row r="177" spans="4:9" ht="15.75" customHeight="1" x14ac:dyDescent="0.25">
      <c r="D177" s="1"/>
      <c r="E177" s="1"/>
      <c r="F177" s="1"/>
      <c r="G177" s="1"/>
      <c r="H177" s="1"/>
      <c r="I177" s="1"/>
    </row>
    <row r="178" spans="4:9" ht="15.75" customHeight="1" x14ac:dyDescent="0.25">
      <c r="D178" s="1"/>
      <c r="E178" s="1"/>
      <c r="F178" s="1"/>
      <c r="G178" s="1"/>
      <c r="H178" s="1"/>
      <c r="I178" s="1"/>
    </row>
    <row r="179" spans="4:9" ht="15.75" customHeight="1" x14ac:dyDescent="0.25">
      <c r="D179" s="1"/>
      <c r="E179" s="1"/>
      <c r="F179" s="1"/>
      <c r="G179" s="1"/>
      <c r="H179" s="1"/>
      <c r="I179" s="1"/>
    </row>
    <row r="180" spans="4:9" ht="15.75" customHeight="1" x14ac:dyDescent="0.25">
      <c r="D180" s="1"/>
      <c r="E180" s="1"/>
      <c r="F180" s="1"/>
      <c r="G180" s="1"/>
      <c r="H180" s="1"/>
      <c r="I180" s="1"/>
    </row>
    <row r="181" spans="4:9" ht="15.75" customHeight="1" x14ac:dyDescent="0.25">
      <c r="D181" s="1"/>
      <c r="E181" s="1"/>
      <c r="F181" s="1"/>
      <c r="G181" s="1"/>
      <c r="H181" s="1"/>
      <c r="I181" s="1"/>
    </row>
    <row r="182" spans="4:9" ht="15.75" customHeight="1" x14ac:dyDescent="0.25">
      <c r="D182" s="1"/>
      <c r="E182" s="1"/>
      <c r="F182" s="1"/>
      <c r="G182" s="1"/>
      <c r="H182" s="1"/>
      <c r="I182" s="1"/>
    </row>
    <row r="183" spans="4:9" ht="15.75" customHeight="1" x14ac:dyDescent="0.25">
      <c r="D183" s="1"/>
      <c r="E183" s="1"/>
      <c r="F183" s="1"/>
      <c r="G183" s="1"/>
      <c r="H183" s="1"/>
      <c r="I183" s="1"/>
    </row>
    <row r="184" spans="4:9" ht="15.75" customHeight="1" x14ac:dyDescent="0.25">
      <c r="D184" s="1"/>
      <c r="E184" s="1"/>
      <c r="F184" s="1"/>
      <c r="G184" s="1"/>
      <c r="H184" s="1"/>
      <c r="I184" s="1"/>
    </row>
    <row r="185" spans="4:9" ht="15.75" customHeight="1" x14ac:dyDescent="0.25">
      <c r="D185" s="1"/>
      <c r="E185" s="1"/>
      <c r="F185" s="1"/>
      <c r="G185" s="1"/>
      <c r="H185" s="1"/>
      <c r="I185" s="1"/>
    </row>
    <row r="186" spans="4:9" ht="15.75" customHeight="1" x14ac:dyDescent="0.25">
      <c r="D186" s="1"/>
      <c r="E186" s="1"/>
      <c r="F186" s="1"/>
      <c r="G186" s="1"/>
      <c r="H186" s="1"/>
      <c r="I186" s="1"/>
    </row>
    <row r="187" spans="4:9" ht="15.75" customHeight="1" x14ac:dyDescent="0.25">
      <c r="D187" s="1"/>
      <c r="E187" s="1"/>
      <c r="F187" s="1"/>
      <c r="G187" s="1"/>
      <c r="H187" s="1"/>
      <c r="I187" s="1"/>
    </row>
    <row r="188" spans="4:9" ht="15.75" customHeight="1" x14ac:dyDescent="0.25">
      <c r="D188" s="1"/>
      <c r="E188" s="1"/>
      <c r="F188" s="1"/>
      <c r="G188" s="1"/>
      <c r="H188" s="1"/>
      <c r="I188" s="1"/>
    </row>
    <row r="189" spans="4:9" ht="15.75" customHeight="1" x14ac:dyDescent="0.25">
      <c r="D189" s="1"/>
      <c r="E189" s="1"/>
      <c r="F189" s="1"/>
      <c r="G189" s="1"/>
      <c r="H189" s="1"/>
      <c r="I189" s="1"/>
    </row>
    <row r="190" spans="4:9" ht="15.75" customHeight="1" x14ac:dyDescent="0.25">
      <c r="D190" s="1"/>
      <c r="E190" s="1"/>
      <c r="F190" s="1"/>
      <c r="G190" s="1"/>
      <c r="H190" s="1"/>
      <c r="I190" s="1"/>
    </row>
    <row r="191" spans="4:9" ht="15.75" customHeight="1" x14ac:dyDescent="0.25">
      <c r="D191" s="1"/>
      <c r="E191" s="1"/>
      <c r="F191" s="1"/>
      <c r="G191" s="1"/>
      <c r="H191" s="1"/>
      <c r="I191" s="1"/>
    </row>
    <row r="192" spans="4:9" ht="15.75" customHeight="1" x14ac:dyDescent="0.25">
      <c r="D192" s="1"/>
      <c r="E192" s="1"/>
      <c r="F192" s="1"/>
      <c r="G192" s="1"/>
      <c r="H192" s="1"/>
      <c r="I192" s="1"/>
    </row>
    <row r="193" spans="4:9" ht="15.75" customHeight="1" x14ac:dyDescent="0.25">
      <c r="D193" s="1"/>
      <c r="E193" s="1"/>
      <c r="F193" s="1"/>
      <c r="G193" s="1"/>
      <c r="H193" s="1"/>
      <c r="I193" s="1"/>
    </row>
    <row r="194" spans="4:9" ht="15.75" customHeight="1" x14ac:dyDescent="0.25">
      <c r="D194" s="1"/>
      <c r="E194" s="1"/>
      <c r="F194" s="1"/>
      <c r="G194" s="1"/>
      <c r="H194" s="1"/>
      <c r="I194" s="1"/>
    </row>
    <row r="195" spans="4:9" ht="15.75" customHeight="1" x14ac:dyDescent="0.25">
      <c r="D195" s="1"/>
      <c r="E195" s="1"/>
      <c r="F195" s="1"/>
      <c r="G195" s="1"/>
      <c r="H195" s="1"/>
      <c r="I195" s="1"/>
    </row>
    <row r="196" spans="4:9" ht="15.75" customHeight="1" x14ac:dyDescent="0.25">
      <c r="D196" s="1"/>
      <c r="E196" s="1"/>
      <c r="F196" s="1"/>
      <c r="G196" s="1"/>
      <c r="H196" s="1"/>
      <c r="I196" s="1"/>
    </row>
    <row r="197" spans="4:9" ht="15.75" customHeight="1" x14ac:dyDescent="0.25">
      <c r="D197" s="1"/>
      <c r="E197" s="1"/>
      <c r="F197" s="1"/>
      <c r="G197" s="1"/>
      <c r="H197" s="1"/>
      <c r="I197" s="1"/>
    </row>
    <row r="198" spans="4:9" ht="15.75" customHeight="1" x14ac:dyDescent="0.25">
      <c r="D198" s="1"/>
      <c r="E198" s="1"/>
      <c r="F198" s="1"/>
      <c r="G198" s="1"/>
      <c r="H198" s="1"/>
      <c r="I198" s="1"/>
    </row>
    <row r="199" spans="4:9" ht="15.75" customHeight="1" x14ac:dyDescent="0.25">
      <c r="D199" s="1"/>
      <c r="E199" s="1"/>
      <c r="F199" s="1"/>
      <c r="G199" s="1"/>
      <c r="H199" s="1"/>
      <c r="I199" s="1"/>
    </row>
    <row r="200" spans="4:9" ht="15.75" customHeight="1" x14ac:dyDescent="0.25">
      <c r="D200" s="1"/>
      <c r="E200" s="1"/>
      <c r="F200" s="1"/>
      <c r="G200" s="1"/>
      <c r="H200" s="1"/>
      <c r="I200" s="1"/>
    </row>
    <row r="201" spans="4:9" ht="15.75" customHeight="1" x14ac:dyDescent="0.25">
      <c r="D201" s="1"/>
      <c r="E201" s="1"/>
      <c r="F201" s="1"/>
      <c r="G201" s="1"/>
      <c r="H201" s="1"/>
      <c r="I201" s="1"/>
    </row>
    <row r="202" spans="4:9" ht="15.75" customHeight="1" x14ac:dyDescent="0.25">
      <c r="D202" s="1"/>
      <c r="E202" s="1"/>
      <c r="F202" s="1"/>
      <c r="G202" s="1"/>
      <c r="H202" s="1"/>
      <c r="I202" s="1"/>
    </row>
    <row r="203" spans="4:9" ht="15.75" customHeight="1" x14ac:dyDescent="0.25">
      <c r="D203" s="1"/>
      <c r="E203" s="1"/>
      <c r="F203" s="1"/>
      <c r="G203" s="1"/>
      <c r="H203" s="1"/>
      <c r="I203" s="1"/>
    </row>
    <row r="204" spans="4:9" ht="15.75" customHeight="1" x14ac:dyDescent="0.25">
      <c r="D204" s="1"/>
      <c r="E204" s="1"/>
      <c r="F204" s="1"/>
      <c r="G204" s="1"/>
      <c r="H204" s="1"/>
      <c r="I204" s="1"/>
    </row>
    <row r="205" spans="4:9" ht="15.75" customHeight="1" x14ac:dyDescent="0.25">
      <c r="D205" s="1"/>
      <c r="E205" s="1"/>
      <c r="F205" s="1"/>
      <c r="G205" s="1"/>
      <c r="H205" s="1"/>
      <c r="I205" s="1"/>
    </row>
    <row r="206" spans="4:9" ht="15.75" customHeight="1" x14ac:dyDescent="0.25">
      <c r="D206" s="1"/>
      <c r="E206" s="1"/>
      <c r="F206" s="1"/>
      <c r="G206" s="1"/>
      <c r="H206" s="1"/>
      <c r="I206" s="1"/>
    </row>
    <row r="207" spans="4:9" ht="15.75" customHeight="1" x14ac:dyDescent="0.25">
      <c r="D207" s="1"/>
      <c r="E207" s="1"/>
      <c r="F207" s="1"/>
      <c r="G207" s="1"/>
      <c r="H207" s="1"/>
      <c r="I207" s="1"/>
    </row>
    <row r="208" spans="4:9" ht="15.75" customHeight="1" x14ac:dyDescent="0.25">
      <c r="D208" s="1"/>
      <c r="E208" s="1"/>
      <c r="F208" s="1"/>
      <c r="G208" s="1"/>
      <c r="H208" s="1"/>
      <c r="I208" s="1"/>
    </row>
    <row r="209" spans="4:9" ht="15.75" customHeight="1" x14ac:dyDescent="0.25">
      <c r="D209" s="1"/>
      <c r="E209" s="1"/>
      <c r="F209" s="1"/>
      <c r="G209" s="1"/>
      <c r="H209" s="1"/>
      <c r="I209" s="1"/>
    </row>
    <row r="210" spans="4:9" ht="15.75" customHeight="1" x14ac:dyDescent="0.25">
      <c r="D210" s="1"/>
      <c r="E210" s="1"/>
      <c r="F210" s="1"/>
      <c r="G210" s="1"/>
      <c r="H210" s="1"/>
      <c r="I210" s="1"/>
    </row>
    <row r="211" spans="4:9" ht="15.75" customHeight="1" x14ac:dyDescent="0.25">
      <c r="D211" s="1"/>
      <c r="E211" s="1"/>
      <c r="F211" s="1"/>
      <c r="G211" s="1"/>
      <c r="H211" s="1"/>
      <c r="I211" s="1"/>
    </row>
    <row r="212" spans="4:9" ht="15.75" customHeight="1" x14ac:dyDescent="0.25">
      <c r="D212" s="1"/>
      <c r="E212" s="1"/>
      <c r="F212" s="1"/>
      <c r="G212" s="1"/>
      <c r="H212" s="1"/>
      <c r="I212" s="1"/>
    </row>
    <row r="213" spans="4:9" ht="15.75" customHeight="1" x14ac:dyDescent="0.25">
      <c r="D213" s="1"/>
      <c r="E213" s="1"/>
      <c r="F213" s="1"/>
      <c r="G213" s="1"/>
      <c r="H213" s="1"/>
      <c r="I213" s="1"/>
    </row>
    <row r="214" spans="4:9" ht="15.75" customHeight="1" x14ac:dyDescent="0.25">
      <c r="D214" s="1"/>
      <c r="E214" s="1"/>
      <c r="F214" s="1"/>
      <c r="G214" s="1"/>
      <c r="H214" s="1"/>
      <c r="I214" s="1"/>
    </row>
    <row r="215" spans="4:9" ht="15.75" customHeight="1" x14ac:dyDescent="0.25">
      <c r="D215" s="1"/>
      <c r="E215" s="1"/>
      <c r="F215" s="1"/>
      <c r="G215" s="1"/>
      <c r="H215" s="1"/>
      <c r="I215" s="1"/>
    </row>
    <row r="216" spans="4:9" ht="15.75" customHeight="1" x14ac:dyDescent="0.25">
      <c r="D216" s="1"/>
      <c r="E216" s="1"/>
      <c r="F216" s="1"/>
      <c r="G216" s="1"/>
      <c r="H216" s="1"/>
      <c r="I216" s="1"/>
    </row>
    <row r="217" spans="4:9" ht="15.75" customHeight="1" x14ac:dyDescent="0.25">
      <c r="D217" s="1"/>
      <c r="E217" s="1"/>
      <c r="F217" s="1"/>
      <c r="G217" s="1"/>
      <c r="H217" s="1"/>
      <c r="I217" s="1"/>
    </row>
    <row r="218" spans="4:9" ht="15.75" customHeight="1" x14ac:dyDescent="0.25">
      <c r="D218" s="1"/>
      <c r="E218" s="1"/>
      <c r="F218" s="1"/>
      <c r="G218" s="1"/>
      <c r="H218" s="1"/>
      <c r="I218" s="1"/>
    </row>
    <row r="219" spans="4:9" ht="15.75" customHeight="1" x14ac:dyDescent="0.25">
      <c r="D219" s="1"/>
      <c r="E219" s="1"/>
      <c r="F219" s="1"/>
      <c r="G219" s="1"/>
      <c r="H219" s="1"/>
      <c r="I219" s="1"/>
    </row>
    <row r="220" spans="4:9" ht="15.75" customHeight="1" x14ac:dyDescent="0.25">
      <c r="D220" s="1"/>
      <c r="E220" s="1"/>
      <c r="F220" s="1"/>
      <c r="G220" s="1"/>
      <c r="H220" s="1"/>
      <c r="I220" s="1"/>
    </row>
    <row r="221" spans="4:9" ht="15.75" customHeight="1" x14ac:dyDescent="0.25">
      <c r="D221" s="1"/>
      <c r="E221" s="1"/>
      <c r="F221" s="1"/>
      <c r="G221" s="1"/>
      <c r="H221" s="1"/>
      <c r="I221" s="1"/>
    </row>
    <row r="222" spans="4:9" ht="15.75" customHeight="1" x14ac:dyDescent="0.25">
      <c r="D222" s="1"/>
      <c r="E222" s="1"/>
      <c r="F222" s="1"/>
      <c r="G222" s="1"/>
      <c r="H222" s="1"/>
      <c r="I222" s="1"/>
    </row>
    <row r="223" spans="4:9" ht="15.75" customHeight="1" x14ac:dyDescent="0.25">
      <c r="D223" s="1"/>
      <c r="E223" s="1"/>
      <c r="F223" s="1"/>
      <c r="G223" s="1"/>
      <c r="H223" s="1"/>
      <c r="I223" s="1"/>
    </row>
    <row r="224" spans="4:9" ht="15.75" customHeight="1" x14ac:dyDescent="0.25">
      <c r="D224" s="1"/>
      <c r="E224" s="1"/>
      <c r="F224" s="1"/>
      <c r="G224" s="1"/>
      <c r="H224" s="1"/>
      <c r="I224" s="1"/>
    </row>
    <row r="225" spans="4:9" ht="15.75" customHeight="1" x14ac:dyDescent="0.25">
      <c r="D225" s="1"/>
      <c r="E225" s="1"/>
      <c r="F225" s="1"/>
      <c r="G225" s="1"/>
      <c r="H225" s="1"/>
      <c r="I225" s="1"/>
    </row>
    <row r="226" spans="4:9" ht="15.75" customHeight="1" x14ac:dyDescent="0.25">
      <c r="D226" s="1"/>
      <c r="E226" s="1"/>
      <c r="F226" s="1"/>
      <c r="G226" s="1"/>
      <c r="H226" s="1"/>
      <c r="I226" s="1"/>
    </row>
    <row r="227" spans="4:9" ht="15.75" customHeight="1" x14ac:dyDescent="0.25">
      <c r="D227" s="1"/>
      <c r="E227" s="1"/>
      <c r="F227" s="1"/>
      <c r="G227" s="1"/>
      <c r="H227" s="1"/>
      <c r="I227" s="1"/>
    </row>
    <row r="228" spans="4:9" ht="15.75" customHeight="1" x14ac:dyDescent="0.25">
      <c r="D228" s="1"/>
      <c r="E228" s="1"/>
      <c r="F228" s="1"/>
      <c r="G228" s="1"/>
      <c r="H228" s="1"/>
      <c r="I228" s="1"/>
    </row>
    <row r="229" spans="4:9" ht="15.75" customHeight="1" x14ac:dyDescent="0.25">
      <c r="D229" s="1"/>
      <c r="E229" s="1"/>
      <c r="F229" s="1"/>
      <c r="G229" s="1"/>
      <c r="H229" s="1"/>
      <c r="I229" s="1"/>
    </row>
    <row r="230" spans="4:9" ht="15.75" customHeight="1" x14ac:dyDescent="0.25">
      <c r="D230" s="1"/>
      <c r="E230" s="1"/>
      <c r="F230" s="1"/>
      <c r="G230" s="1"/>
      <c r="H230" s="1"/>
      <c r="I230" s="1"/>
    </row>
    <row r="231" spans="4:9" ht="15.75" customHeight="1" x14ac:dyDescent="0.25">
      <c r="D231" s="1"/>
      <c r="E231" s="1"/>
      <c r="F231" s="1"/>
      <c r="G231" s="1"/>
      <c r="H231" s="1"/>
      <c r="I231" s="1"/>
    </row>
    <row r="232" spans="4:9" ht="15.75" customHeight="1" x14ac:dyDescent="0.25">
      <c r="D232" s="1"/>
      <c r="E232" s="1"/>
      <c r="F232" s="1"/>
      <c r="G232" s="1"/>
      <c r="H232" s="1"/>
      <c r="I232" s="1"/>
    </row>
    <row r="233" spans="4:9" ht="15.75" customHeight="1" x14ac:dyDescent="0.25">
      <c r="D233" s="1"/>
      <c r="E233" s="1"/>
      <c r="F233" s="1"/>
      <c r="G233" s="1"/>
      <c r="H233" s="1"/>
      <c r="I233" s="1"/>
    </row>
    <row r="234" spans="4:9" ht="15.75" customHeight="1" x14ac:dyDescent="0.25">
      <c r="D234" s="1"/>
      <c r="E234" s="1"/>
      <c r="F234" s="1"/>
      <c r="G234" s="1"/>
      <c r="H234" s="1"/>
      <c r="I234" s="1"/>
    </row>
    <row r="235" spans="4:9" ht="15.75" customHeight="1" x14ac:dyDescent="0.25">
      <c r="D235" s="1"/>
      <c r="E235" s="1"/>
      <c r="F235" s="1"/>
      <c r="G235" s="1"/>
      <c r="H235" s="1"/>
      <c r="I235" s="1"/>
    </row>
    <row r="236" spans="4:9" ht="15.75" customHeight="1" x14ac:dyDescent="0.25">
      <c r="D236" s="1"/>
      <c r="E236" s="1"/>
      <c r="F236" s="1"/>
      <c r="G236" s="1"/>
      <c r="H236" s="1"/>
      <c r="I236" s="1"/>
    </row>
    <row r="237" spans="4:9" ht="15.75" customHeight="1" x14ac:dyDescent="0.25">
      <c r="D237" s="1"/>
      <c r="E237" s="1"/>
      <c r="F237" s="1"/>
      <c r="G237" s="1"/>
      <c r="H237" s="1"/>
      <c r="I237" s="1"/>
    </row>
    <row r="238" spans="4:9" ht="15.75" customHeight="1" x14ac:dyDescent="0.25">
      <c r="D238" s="1"/>
      <c r="E238" s="1"/>
      <c r="F238" s="1"/>
      <c r="G238" s="1"/>
      <c r="H238" s="1"/>
      <c r="I238" s="1"/>
    </row>
    <row r="239" spans="4:9" ht="15.75" customHeight="1" x14ac:dyDescent="0.25">
      <c r="D239" s="1"/>
      <c r="E239" s="1"/>
      <c r="F239" s="1"/>
      <c r="G239" s="1"/>
      <c r="H239" s="1"/>
      <c r="I239" s="1"/>
    </row>
    <row r="240" spans="4:9" ht="15.75" customHeight="1" x14ac:dyDescent="0.25">
      <c r="D240" s="1"/>
      <c r="E240" s="1"/>
      <c r="F240" s="1"/>
      <c r="G240" s="1"/>
      <c r="H240" s="1"/>
      <c r="I240" s="1"/>
    </row>
    <row r="241" spans="4:9" ht="15.75" customHeight="1" x14ac:dyDescent="0.25">
      <c r="D241" s="1"/>
      <c r="E241" s="1"/>
      <c r="F241" s="1"/>
      <c r="G241" s="1"/>
      <c r="H241" s="1"/>
      <c r="I241" s="1"/>
    </row>
    <row r="242" spans="4:9" ht="15.75" customHeight="1" x14ac:dyDescent="0.25">
      <c r="D242" s="1"/>
      <c r="E242" s="1"/>
      <c r="F242" s="1"/>
      <c r="G242" s="1"/>
      <c r="H242" s="1"/>
      <c r="I242" s="1"/>
    </row>
    <row r="243" spans="4:9" ht="15.75" customHeight="1" x14ac:dyDescent="0.25">
      <c r="D243" s="1"/>
      <c r="E243" s="1"/>
      <c r="F243" s="1"/>
      <c r="G243" s="1"/>
      <c r="H243" s="1"/>
      <c r="I243" s="1"/>
    </row>
    <row r="244" spans="4:9" ht="15.75" customHeight="1" x14ac:dyDescent="0.25">
      <c r="D244" s="1"/>
      <c r="E244" s="1"/>
      <c r="F244" s="1"/>
      <c r="G244" s="1"/>
      <c r="H244" s="1"/>
      <c r="I244" s="1"/>
    </row>
    <row r="245" spans="4:9" ht="15.75" customHeight="1" x14ac:dyDescent="0.25">
      <c r="D245" s="1"/>
      <c r="E245" s="1"/>
      <c r="F245" s="1"/>
      <c r="G245" s="1"/>
      <c r="H245" s="1"/>
      <c r="I245" s="1"/>
    </row>
    <row r="246" spans="4:9" ht="15.75" customHeight="1" x14ac:dyDescent="0.25">
      <c r="D246" s="1"/>
      <c r="E246" s="1"/>
      <c r="F246" s="1"/>
      <c r="G246" s="1"/>
      <c r="H246" s="1"/>
      <c r="I246" s="1"/>
    </row>
    <row r="247" spans="4:9" ht="15.75" customHeight="1" x14ac:dyDescent="0.25">
      <c r="D247" s="1"/>
      <c r="E247" s="1"/>
      <c r="F247" s="1"/>
      <c r="G247" s="1"/>
      <c r="H247" s="1"/>
      <c r="I247" s="1"/>
    </row>
    <row r="248" spans="4:9" ht="15.75" customHeight="1" x14ac:dyDescent="0.25">
      <c r="D248" s="1"/>
      <c r="E248" s="1"/>
      <c r="F248" s="1"/>
      <c r="G248" s="1"/>
      <c r="H248" s="1"/>
      <c r="I248" s="1"/>
    </row>
    <row r="249" spans="4:9" ht="15.75" customHeight="1" x14ac:dyDescent="0.25">
      <c r="D249" s="1"/>
      <c r="E249" s="1"/>
      <c r="F249" s="1"/>
      <c r="G249" s="1"/>
      <c r="H249" s="1"/>
      <c r="I249" s="1"/>
    </row>
    <row r="250" spans="4:9" ht="15.75" customHeight="1" x14ac:dyDescent="0.25">
      <c r="D250" s="1"/>
      <c r="E250" s="1"/>
      <c r="F250" s="1"/>
      <c r="G250" s="1"/>
      <c r="H250" s="1"/>
      <c r="I250" s="1"/>
    </row>
    <row r="251" spans="4:9" ht="15.75" customHeight="1" x14ac:dyDescent="0.25">
      <c r="D251" s="1"/>
      <c r="E251" s="1"/>
      <c r="F251" s="1"/>
      <c r="G251" s="1"/>
      <c r="H251" s="1"/>
      <c r="I251" s="1"/>
    </row>
    <row r="252" spans="4:9" ht="15.75" customHeight="1" x14ac:dyDescent="0.25">
      <c r="D252" s="1"/>
      <c r="E252" s="1"/>
      <c r="F252" s="1"/>
      <c r="G252" s="1"/>
      <c r="H252" s="1"/>
      <c r="I252" s="1"/>
    </row>
    <row r="253" spans="4:9" ht="15.75" customHeight="1" x14ac:dyDescent="0.25">
      <c r="D253" s="1"/>
      <c r="E253" s="1"/>
      <c r="F253" s="1"/>
      <c r="G253" s="1"/>
      <c r="H253" s="1"/>
      <c r="I253" s="1"/>
    </row>
    <row r="254" spans="4:9" ht="15.75" customHeight="1" x14ac:dyDescent="0.25">
      <c r="D254" s="1"/>
      <c r="E254" s="1"/>
      <c r="F254" s="1"/>
      <c r="G254" s="1"/>
      <c r="H254" s="1"/>
      <c r="I254" s="1"/>
    </row>
    <row r="255" spans="4:9" ht="15.75" customHeight="1" x14ac:dyDescent="0.25">
      <c r="D255" s="1"/>
      <c r="E255" s="1"/>
      <c r="F255" s="1"/>
      <c r="G255" s="1"/>
      <c r="H255" s="1"/>
      <c r="I255" s="1"/>
    </row>
    <row r="256" spans="4:9" ht="15.75" customHeight="1" x14ac:dyDescent="0.25">
      <c r="D256" s="1"/>
      <c r="E256" s="1"/>
      <c r="F256" s="1"/>
      <c r="G256" s="1"/>
      <c r="H256" s="1"/>
      <c r="I256" s="1"/>
    </row>
    <row r="257" spans="4:9" ht="15.75" customHeight="1" x14ac:dyDescent="0.25">
      <c r="D257" s="1"/>
      <c r="E257" s="1"/>
      <c r="F257" s="1"/>
      <c r="G257" s="1"/>
      <c r="H257" s="1"/>
      <c r="I257" s="1"/>
    </row>
    <row r="258" spans="4:9" ht="15.75" customHeight="1" x14ac:dyDescent="0.25">
      <c r="D258" s="1"/>
      <c r="E258" s="1"/>
      <c r="F258" s="1"/>
      <c r="G258" s="1"/>
      <c r="H258" s="1"/>
      <c r="I258" s="1"/>
    </row>
    <row r="259" spans="4:9" ht="15.75" customHeight="1" x14ac:dyDescent="0.25">
      <c r="D259" s="1"/>
      <c r="E259" s="1"/>
      <c r="F259" s="1"/>
      <c r="G259" s="1"/>
      <c r="H259" s="1"/>
      <c r="I259" s="1"/>
    </row>
    <row r="260" spans="4:9" ht="15.75" customHeight="1" x14ac:dyDescent="0.25">
      <c r="D260" s="1"/>
      <c r="E260" s="1"/>
      <c r="F260" s="1"/>
      <c r="G260" s="1"/>
      <c r="H260" s="1"/>
      <c r="I260" s="1"/>
    </row>
    <row r="261" spans="4:9" ht="15.75" customHeight="1" x14ac:dyDescent="0.25">
      <c r="D261" s="1"/>
      <c r="E261" s="1"/>
      <c r="F261" s="1"/>
      <c r="G261" s="1"/>
      <c r="H261" s="1"/>
      <c r="I261" s="1"/>
    </row>
    <row r="262" spans="4:9" ht="15.75" customHeight="1" x14ac:dyDescent="0.25">
      <c r="D262" s="1"/>
      <c r="E262" s="1"/>
      <c r="F262" s="1"/>
      <c r="G262" s="1"/>
      <c r="H262" s="1"/>
      <c r="I262" s="1"/>
    </row>
    <row r="263" spans="4:9" ht="15.75" customHeight="1" x14ac:dyDescent="0.25">
      <c r="D263" s="1"/>
      <c r="E263" s="1"/>
      <c r="F263" s="1"/>
      <c r="G263" s="1"/>
      <c r="H263" s="1"/>
      <c r="I263" s="1"/>
    </row>
    <row r="264" spans="4:9" ht="15.75" customHeight="1" x14ac:dyDescent="0.25">
      <c r="D264" s="1"/>
      <c r="E264" s="1"/>
      <c r="F264" s="1"/>
      <c r="G264" s="1"/>
      <c r="H264" s="1"/>
      <c r="I264" s="1"/>
    </row>
    <row r="265" spans="4:9" ht="15.75" customHeight="1" x14ac:dyDescent="0.25">
      <c r="D265" s="1"/>
      <c r="E265" s="1"/>
      <c r="F265" s="1"/>
      <c r="G265" s="1"/>
      <c r="H265" s="1"/>
      <c r="I265" s="1"/>
    </row>
    <row r="266" spans="4:9" ht="15.75" customHeight="1" x14ac:dyDescent="0.25">
      <c r="D266" s="1"/>
      <c r="E266" s="1"/>
      <c r="F266" s="1"/>
      <c r="G266" s="1"/>
      <c r="H266" s="1"/>
      <c r="I266" s="1"/>
    </row>
    <row r="267" spans="4:9" ht="15.75" customHeight="1" x14ac:dyDescent="0.25">
      <c r="D267" s="1"/>
      <c r="E267" s="1"/>
      <c r="F267" s="1"/>
      <c r="G267" s="1"/>
      <c r="H267" s="1"/>
      <c r="I267" s="1"/>
    </row>
    <row r="268" spans="4:9" ht="15.75" customHeight="1" x14ac:dyDescent="0.25">
      <c r="D268" s="1"/>
      <c r="E268" s="1"/>
      <c r="F268" s="1"/>
      <c r="G268" s="1"/>
      <c r="H268" s="1"/>
      <c r="I268" s="1"/>
    </row>
    <row r="269" spans="4:9" ht="15.75" customHeight="1" x14ac:dyDescent="0.25">
      <c r="D269" s="1"/>
      <c r="E269" s="1"/>
      <c r="F269" s="1"/>
      <c r="G269" s="1"/>
      <c r="H269" s="1"/>
      <c r="I269" s="1"/>
    </row>
    <row r="270" spans="4:9" ht="15.75" customHeight="1" x14ac:dyDescent="0.25">
      <c r="D270" s="1"/>
      <c r="E270" s="1"/>
      <c r="F270" s="1"/>
      <c r="G270" s="1"/>
      <c r="H270" s="1"/>
      <c r="I270" s="1"/>
    </row>
    <row r="271" spans="4:9" ht="15.75" customHeight="1" x14ac:dyDescent="0.25">
      <c r="D271" s="1"/>
      <c r="E271" s="1"/>
      <c r="F271" s="1"/>
      <c r="G271" s="1"/>
      <c r="H271" s="1"/>
      <c r="I271" s="1"/>
    </row>
    <row r="272" spans="4:9" ht="15.75" customHeight="1" x14ac:dyDescent="0.25">
      <c r="D272" s="1"/>
      <c r="E272" s="1"/>
      <c r="F272" s="1"/>
      <c r="G272" s="1"/>
      <c r="H272" s="1"/>
      <c r="I272" s="1"/>
    </row>
    <row r="273" spans="4:9" ht="15.75" customHeight="1" x14ac:dyDescent="0.25">
      <c r="D273" s="1"/>
      <c r="E273" s="1"/>
      <c r="F273" s="1"/>
      <c r="G273" s="1"/>
      <c r="H273" s="1"/>
      <c r="I273" s="1"/>
    </row>
    <row r="274" spans="4:9" ht="15.75" customHeight="1" x14ac:dyDescent="0.25">
      <c r="D274" s="1"/>
      <c r="E274" s="1"/>
      <c r="F274" s="1"/>
      <c r="G274" s="1"/>
      <c r="H274" s="1"/>
      <c r="I274" s="1"/>
    </row>
    <row r="275" spans="4:9" ht="15.75" customHeight="1" x14ac:dyDescent="0.25">
      <c r="D275" s="1"/>
      <c r="E275" s="1"/>
      <c r="F275" s="1"/>
      <c r="G275" s="1"/>
      <c r="H275" s="1"/>
      <c r="I275" s="1"/>
    </row>
    <row r="276" spans="4:9" ht="15.75" customHeight="1" x14ac:dyDescent="0.25">
      <c r="D276" s="1"/>
      <c r="E276" s="1"/>
      <c r="F276" s="1"/>
      <c r="G276" s="1"/>
      <c r="H276" s="1"/>
      <c r="I276" s="1"/>
    </row>
    <row r="277" spans="4:9" ht="15.75" customHeight="1" x14ac:dyDescent="0.25">
      <c r="D277" s="1"/>
      <c r="E277" s="1"/>
      <c r="F277" s="1"/>
      <c r="G277" s="1"/>
      <c r="H277" s="1"/>
      <c r="I277" s="1"/>
    </row>
    <row r="278" spans="4:9" ht="15.75" customHeight="1" x14ac:dyDescent="0.25">
      <c r="D278" s="1"/>
      <c r="E278" s="1"/>
      <c r="F278" s="1"/>
      <c r="G278" s="1"/>
      <c r="H278" s="1"/>
      <c r="I278" s="1"/>
    </row>
    <row r="279" spans="4:9" ht="15.75" customHeight="1" x14ac:dyDescent="0.25">
      <c r="D279" s="1"/>
      <c r="E279" s="1"/>
      <c r="F279" s="1"/>
      <c r="G279" s="1"/>
      <c r="H279" s="1"/>
      <c r="I279" s="1"/>
    </row>
    <row r="280" spans="4:9" ht="15.75" customHeight="1" x14ac:dyDescent="0.25">
      <c r="D280" s="1"/>
      <c r="E280" s="1"/>
      <c r="F280" s="1"/>
      <c r="G280" s="1"/>
      <c r="H280" s="1"/>
      <c r="I280" s="1"/>
    </row>
    <row r="281" spans="4:9" ht="15.75" customHeight="1" x14ac:dyDescent="0.25">
      <c r="D281" s="1"/>
      <c r="E281" s="1"/>
      <c r="F281" s="1"/>
      <c r="G281" s="1"/>
      <c r="H281" s="1"/>
      <c r="I281" s="1"/>
    </row>
    <row r="282" spans="4:9" ht="15.75" customHeight="1" x14ac:dyDescent="0.25">
      <c r="D282" s="1"/>
      <c r="E282" s="1"/>
      <c r="F282" s="1"/>
      <c r="G282" s="1"/>
      <c r="H282" s="1"/>
      <c r="I282" s="1"/>
    </row>
    <row r="283" spans="4:9" ht="15.75" customHeight="1" x14ac:dyDescent="0.25">
      <c r="D283" s="1"/>
      <c r="E283" s="1"/>
      <c r="F283" s="1"/>
      <c r="G283" s="1"/>
      <c r="H283" s="1"/>
      <c r="I283" s="1"/>
    </row>
    <row r="284" spans="4:9" ht="15.75" customHeight="1" x14ac:dyDescent="0.25">
      <c r="D284" s="1"/>
      <c r="E284" s="1"/>
      <c r="F284" s="1"/>
      <c r="G284" s="1"/>
      <c r="H284" s="1"/>
      <c r="I284" s="1"/>
    </row>
    <row r="285" spans="4:9" ht="15.75" customHeight="1" x14ac:dyDescent="0.25">
      <c r="D285" s="1"/>
      <c r="E285" s="1"/>
      <c r="F285" s="1"/>
      <c r="G285" s="1"/>
      <c r="H285" s="1"/>
      <c r="I285" s="1"/>
    </row>
    <row r="286" spans="4:9" ht="15.75" customHeight="1" x14ac:dyDescent="0.25">
      <c r="D286" s="1"/>
      <c r="E286" s="1"/>
      <c r="F286" s="1"/>
      <c r="G286" s="1"/>
      <c r="H286" s="1"/>
      <c r="I286" s="1"/>
    </row>
    <row r="287" spans="4:9" ht="15.75" customHeight="1" x14ac:dyDescent="0.25">
      <c r="D287" s="1"/>
      <c r="E287" s="1"/>
      <c r="F287" s="1"/>
      <c r="G287" s="1"/>
      <c r="H287" s="1"/>
      <c r="I287" s="1"/>
    </row>
    <row r="288" spans="4:9" ht="15.75" customHeight="1" x14ac:dyDescent="0.25">
      <c r="D288" s="1"/>
      <c r="E288" s="1"/>
      <c r="F288" s="1"/>
      <c r="G288" s="1"/>
      <c r="H288" s="1"/>
      <c r="I288" s="1"/>
    </row>
    <row r="289" spans="4:9" ht="15.75" customHeight="1" x14ac:dyDescent="0.25">
      <c r="D289" s="1"/>
      <c r="E289" s="1"/>
      <c r="F289" s="1"/>
      <c r="G289" s="1"/>
      <c r="H289" s="1"/>
      <c r="I289" s="1"/>
    </row>
    <row r="290" spans="4:9" ht="15.75" customHeight="1" x14ac:dyDescent="0.25">
      <c r="D290" s="1"/>
      <c r="E290" s="1"/>
      <c r="F290" s="1"/>
      <c r="G290" s="1"/>
      <c r="H290" s="1"/>
      <c r="I290" s="1"/>
    </row>
    <row r="291" spans="4:9" ht="15.75" customHeight="1" x14ac:dyDescent="0.25">
      <c r="D291" s="1"/>
      <c r="E291" s="1"/>
      <c r="F291" s="1"/>
      <c r="G291" s="1"/>
      <c r="H291" s="1"/>
      <c r="I291" s="1"/>
    </row>
    <row r="292" spans="4:9" ht="15.75" customHeight="1" x14ac:dyDescent="0.25">
      <c r="D292" s="1"/>
      <c r="E292" s="1"/>
      <c r="F292" s="1"/>
      <c r="G292" s="1"/>
      <c r="H292" s="1"/>
      <c r="I292" s="1"/>
    </row>
    <row r="293" spans="4:9" ht="15.75" customHeight="1" x14ac:dyDescent="0.25">
      <c r="D293" s="1"/>
      <c r="E293" s="1"/>
      <c r="F293" s="1"/>
      <c r="G293" s="1"/>
      <c r="H293" s="1"/>
      <c r="I293" s="1"/>
    </row>
    <row r="294" spans="4:9" ht="15.75" customHeight="1" x14ac:dyDescent="0.25">
      <c r="D294" s="1"/>
      <c r="E294" s="1"/>
      <c r="F294" s="1"/>
      <c r="G294" s="1"/>
      <c r="H294" s="1"/>
      <c r="I294" s="1"/>
    </row>
    <row r="295" spans="4:9" ht="15.75" customHeight="1" x14ac:dyDescent="0.25">
      <c r="D295" s="1"/>
      <c r="E295" s="1"/>
      <c r="F295" s="1"/>
      <c r="G295" s="1"/>
      <c r="H295" s="1"/>
      <c r="I295" s="1"/>
    </row>
    <row r="296" spans="4:9" ht="15.75" customHeight="1" x14ac:dyDescent="0.25">
      <c r="D296" s="1"/>
      <c r="E296" s="1"/>
      <c r="F296" s="1"/>
      <c r="G296" s="1"/>
      <c r="H296" s="1"/>
      <c r="I296" s="1"/>
    </row>
    <row r="297" spans="4:9" ht="15.75" customHeight="1" x14ac:dyDescent="0.25">
      <c r="D297" s="1"/>
      <c r="E297" s="1"/>
      <c r="F297" s="1"/>
      <c r="G297" s="1"/>
      <c r="H297" s="1"/>
      <c r="I297" s="1"/>
    </row>
    <row r="298" spans="4:9" ht="15.75" customHeight="1" x14ac:dyDescent="0.25">
      <c r="D298" s="1"/>
      <c r="E298" s="1"/>
      <c r="F298" s="1"/>
      <c r="G298" s="1"/>
      <c r="H298" s="1"/>
      <c r="I298" s="1"/>
    </row>
    <row r="299" spans="4:9" ht="15.75" customHeight="1" x14ac:dyDescent="0.25">
      <c r="D299" s="1"/>
      <c r="E299" s="1"/>
      <c r="F299" s="1"/>
      <c r="G299" s="1"/>
      <c r="H299" s="1"/>
      <c r="I299" s="1"/>
    </row>
    <row r="300" spans="4:9" ht="15.75" customHeight="1" x14ac:dyDescent="0.25">
      <c r="D300" s="1"/>
      <c r="E300" s="1"/>
      <c r="F300" s="1"/>
      <c r="G300" s="1"/>
      <c r="H300" s="1"/>
      <c r="I300" s="1"/>
    </row>
    <row r="301" spans="4:9" ht="15.75" customHeight="1" x14ac:dyDescent="0.25">
      <c r="D301" s="1"/>
      <c r="E301" s="1"/>
      <c r="F301" s="1"/>
      <c r="G301" s="1"/>
      <c r="H301" s="1"/>
      <c r="I301" s="1"/>
    </row>
    <row r="302" spans="4:9" ht="15.75" customHeight="1" x14ac:dyDescent="0.25">
      <c r="D302" s="1"/>
      <c r="E302" s="1"/>
      <c r="F302" s="1"/>
      <c r="G302" s="1"/>
      <c r="H302" s="1"/>
      <c r="I302" s="1"/>
    </row>
    <row r="303" spans="4:9" ht="15.75" customHeight="1" x14ac:dyDescent="0.25">
      <c r="D303" s="1"/>
      <c r="E303" s="1"/>
      <c r="F303" s="1"/>
      <c r="G303" s="1"/>
      <c r="H303" s="1"/>
      <c r="I303" s="1"/>
    </row>
    <row r="304" spans="4:9" ht="15.75" customHeight="1" x14ac:dyDescent="0.25">
      <c r="D304" s="1"/>
      <c r="E304" s="1"/>
      <c r="F304" s="1"/>
      <c r="G304" s="1"/>
      <c r="H304" s="1"/>
      <c r="I304" s="1"/>
    </row>
    <row r="305" spans="4:9" ht="15.75" customHeight="1" x14ac:dyDescent="0.25">
      <c r="D305" s="1"/>
      <c r="E305" s="1"/>
      <c r="F305" s="1"/>
      <c r="G305" s="1"/>
      <c r="H305" s="1"/>
      <c r="I305" s="1"/>
    </row>
    <row r="306" spans="4:9" ht="15.75" customHeight="1" x14ac:dyDescent="0.25">
      <c r="D306" s="1"/>
      <c r="E306" s="1"/>
      <c r="F306" s="1"/>
      <c r="G306" s="1"/>
      <c r="H306" s="1"/>
      <c r="I306" s="1"/>
    </row>
    <row r="307" spans="4:9" ht="15.75" customHeight="1" x14ac:dyDescent="0.25">
      <c r="D307" s="1"/>
      <c r="E307" s="1"/>
      <c r="F307" s="1"/>
      <c r="G307" s="1"/>
      <c r="H307" s="1"/>
      <c r="I307" s="1"/>
    </row>
    <row r="308" spans="4:9" ht="15.75" customHeight="1" x14ac:dyDescent="0.25">
      <c r="D308" s="1"/>
      <c r="E308" s="1"/>
      <c r="F308" s="1"/>
      <c r="G308" s="1"/>
      <c r="H308" s="1"/>
      <c r="I308" s="1"/>
    </row>
    <row r="309" spans="4:9" ht="15.75" customHeight="1" x14ac:dyDescent="0.25">
      <c r="D309" s="1"/>
      <c r="E309" s="1"/>
      <c r="F309" s="1"/>
      <c r="G309" s="1"/>
      <c r="H309" s="1"/>
      <c r="I309" s="1"/>
    </row>
    <row r="310" spans="4:9" ht="15.75" customHeight="1" x14ac:dyDescent="0.25">
      <c r="D310" s="1"/>
      <c r="E310" s="1"/>
      <c r="F310" s="1"/>
      <c r="G310" s="1"/>
      <c r="H310" s="1"/>
      <c r="I310" s="1"/>
    </row>
    <row r="311" spans="4:9" ht="15.75" customHeight="1" x14ac:dyDescent="0.25">
      <c r="D311" s="1"/>
      <c r="E311" s="1"/>
      <c r="F311" s="1"/>
      <c r="G311" s="1"/>
      <c r="H311" s="1"/>
      <c r="I311" s="1"/>
    </row>
    <row r="312" spans="4:9" ht="15.75" customHeight="1" x14ac:dyDescent="0.25">
      <c r="D312" s="1"/>
      <c r="E312" s="1"/>
      <c r="F312" s="1"/>
      <c r="G312" s="1"/>
      <c r="H312" s="1"/>
      <c r="I312" s="1"/>
    </row>
    <row r="313" spans="4:9" ht="15.75" customHeight="1" x14ac:dyDescent="0.25">
      <c r="D313" s="1"/>
      <c r="E313" s="1"/>
      <c r="F313" s="1"/>
      <c r="G313" s="1"/>
      <c r="H313" s="1"/>
      <c r="I313" s="1"/>
    </row>
    <row r="314" spans="4:9" ht="15.75" customHeight="1" x14ac:dyDescent="0.25">
      <c r="D314" s="1"/>
      <c r="E314" s="1"/>
      <c r="F314" s="1"/>
      <c r="G314" s="1"/>
      <c r="H314" s="1"/>
      <c r="I314" s="1"/>
    </row>
    <row r="315" spans="4:9" ht="15.75" customHeight="1" x14ac:dyDescent="0.25">
      <c r="D315" s="1"/>
      <c r="E315" s="1"/>
      <c r="F315" s="1"/>
      <c r="G315" s="1"/>
      <c r="H315" s="1"/>
      <c r="I315" s="1"/>
    </row>
    <row r="316" spans="4:9" ht="15.75" customHeight="1" x14ac:dyDescent="0.25">
      <c r="D316" s="1"/>
      <c r="E316" s="1"/>
      <c r="F316" s="1"/>
      <c r="G316" s="1"/>
      <c r="H316" s="1"/>
      <c r="I316" s="1"/>
    </row>
    <row r="317" spans="4:9" ht="15.75" customHeight="1" x14ac:dyDescent="0.25">
      <c r="D317" s="1"/>
      <c r="E317" s="1"/>
      <c r="F317" s="1"/>
      <c r="G317" s="1"/>
      <c r="H317" s="1"/>
      <c r="I317" s="1"/>
    </row>
    <row r="318" spans="4:9" ht="15.75" customHeight="1" x14ac:dyDescent="0.25">
      <c r="D318" s="1"/>
      <c r="E318" s="1"/>
      <c r="F318" s="1"/>
      <c r="G318" s="1"/>
      <c r="H318" s="1"/>
      <c r="I318" s="1"/>
    </row>
    <row r="319" spans="4:9" ht="15.75" customHeight="1" x14ac:dyDescent="0.25">
      <c r="D319" s="1"/>
      <c r="E319" s="1"/>
      <c r="F319" s="1"/>
      <c r="G319" s="1"/>
      <c r="H319" s="1"/>
      <c r="I319" s="1"/>
    </row>
    <row r="320" spans="4:9" ht="15.75" customHeight="1" x14ac:dyDescent="0.25">
      <c r="D320" s="1"/>
      <c r="E320" s="1"/>
      <c r="F320" s="1"/>
      <c r="G320" s="1"/>
      <c r="H320" s="1"/>
      <c r="I320" s="1"/>
    </row>
    <row r="321" spans="4:9" ht="15.75" customHeight="1" x14ac:dyDescent="0.25">
      <c r="D321" s="1"/>
      <c r="E321" s="1"/>
      <c r="F321" s="1"/>
      <c r="G321" s="1"/>
      <c r="H321" s="1"/>
      <c r="I321" s="1"/>
    </row>
    <row r="322" spans="4:9" ht="15.75" customHeight="1" x14ac:dyDescent="0.25">
      <c r="D322" s="1"/>
      <c r="E322" s="1"/>
      <c r="F322" s="1"/>
      <c r="G322" s="1"/>
      <c r="H322" s="1"/>
      <c r="I322" s="1"/>
    </row>
    <row r="323" spans="4:9" ht="15.75" customHeight="1" x14ac:dyDescent="0.25">
      <c r="D323" s="1"/>
      <c r="E323" s="1"/>
      <c r="F323" s="1"/>
      <c r="G323" s="1"/>
      <c r="H323" s="1"/>
      <c r="I323" s="1"/>
    </row>
    <row r="324" spans="4:9" ht="15.75" customHeight="1" x14ac:dyDescent="0.25">
      <c r="D324" s="1"/>
      <c r="E324" s="1"/>
      <c r="F324" s="1"/>
      <c r="G324" s="1"/>
      <c r="H324" s="1"/>
      <c r="I324" s="1"/>
    </row>
    <row r="325" spans="4:9" ht="15.75" customHeight="1" x14ac:dyDescent="0.25">
      <c r="D325" s="1"/>
      <c r="E325" s="1"/>
      <c r="F325" s="1"/>
      <c r="G325" s="1"/>
      <c r="H325" s="1"/>
      <c r="I325" s="1"/>
    </row>
    <row r="326" spans="4:9" ht="15.75" customHeight="1" x14ac:dyDescent="0.25">
      <c r="D326" s="1"/>
      <c r="E326" s="1"/>
      <c r="F326" s="1"/>
      <c r="G326" s="1"/>
      <c r="H326" s="1"/>
      <c r="I326" s="1"/>
    </row>
    <row r="327" spans="4:9" ht="15.75" customHeight="1" x14ac:dyDescent="0.25">
      <c r="D327" s="1"/>
      <c r="E327" s="1"/>
      <c r="F327" s="1"/>
      <c r="G327" s="1"/>
      <c r="H327" s="1"/>
      <c r="I327" s="1"/>
    </row>
    <row r="328" spans="4:9" ht="15.75" customHeight="1" x14ac:dyDescent="0.25">
      <c r="D328" s="1"/>
      <c r="E328" s="1"/>
      <c r="F328" s="1"/>
      <c r="G328" s="1"/>
      <c r="H328" s="1"/>
      <c r="I328" s="1"/>
    </row>
    <row r="329" spans="4:9" ht="15.75" customHeight="1" x14ac:dyDescent="0.25">
      <c r="D329" s="1"/>
      <c r="E329" s="1"/>
      <c r="F329" s="1"/>
      <c r="G329" s="1"/>
      <c r="H329" s="1"/>
      <c r="I329" s="1"/>
    </row>
    <row r="330" spans="4:9" ht="15.75" customHeight="1" x14ac:dyDescent="0.25">
      <c r="D330" s="1"/>
      <c r="E330" s="1"/>
      <c r="F330" s="1"/>
      <c r="G330" s="1"/>
      <c r="H330" s="1"/>
      <c r="I330" s="1"/>
    </row>
    <row r="331" spans="4:9" ht="15.75" customHeight="1" x14ac:dyDescent="0.25">
      <c r="D331" s="1"/>
      <c r="E331" s="1"/>
      <c r="F331" s="1"/>
      <c r="G331" s="1"/>
      <c r="H331" s="1"/>
      <c r="I331" s="1"/>
    </row>
    <row r="332" spans="4:9" ht="15.75" customHeight="1" x14ac:dyDescent="0.25">
      <c r="D332" s="1"/>
      <c r="E332" s="1"/>
      <c r="F332" s="1"/>
      <c r="G332" s="1"/>
      <c r="H332" s="1"/>
      <c r="I332" s="1"/>
    </row>
    <row r="333" spans="4:9" ht="15.75" customHeight="1" x14ac:dyDescent="0.25">
      <c r="D333" s="1"/>
      <c r="E333" s="1"/>
      <c r="F333" s="1"/>
      <c r="G333" s="1"/>
      <c r="H333" s="1"/>
      <c r="I333" s="1"/>
    </row>
    <row r="334" spans="4:9" ht="15.75" customHeight="1" x14ac:dyDescent="0.25">
      <c r="D334" s="1"/>
      <c r="E334" s="1"/>
      <c r="F334" s="1"/>
      <c r="G334" s="1"/>
      <c r="H334" s="1"/>
      <c r="I334" s="1"/>
    </row>
    <row r="335" spans="4:9" ht="15.75" customHeight="1" x14ac:dyDescent="0.25">
      <c r="D335" s="1"/>
      <c r="E335" s="1"/>
      <c r="F335" s="1"/>
      <c r="G335" s="1"/>
      <c r="H335" s="1"/>
      <c r="I335" s="1"/>
    </row>
    <row r="336" spans="4:9" ht="15.75" customHeight="1" x14ac:dyDescent="0.25">
      <c r="D336" s="1"/>
      <c r="E336" s="1"/>
      <c r="F336" s="1"/>
      <c r="G336" s="1"/>
      <c r="H336" s="1"/>
      <c r="I336" s="1"/>
    </row>
    <row r="337" spans="4:9" ht="15.75" customHeight="1" x14ac:dyDescent="0.25">
      <c r="D337" s="1"/>
      <c r="E337" s="1"/>
      <c r="F337" s="1"/>
      <c r="G337" s="1"/>
      <c r="H337" s="1"/>
      <c r="I337" s="1"/>
    </row>
    <row r="338" spans="4:9" ht="15.75" customHeight="1" x14ac:dyDescent="0.25">
      <c r="D338" s="1"/>
      <c r="E338" s="1"/>
      <c r="F338" s="1"/>
      <c r="G338" s="1"/>
      <c r="H338" s="1"/>
      <c r="I338" s="1"/>
    </row>
    <row r="339" spans="4:9" ht="15.75" customHeight="1" x14ac:dyDescent="0.25">
      <c r="D339" s="1"/>
      <c r="E339" s="1"/>
      <c r="F339" s="1"/>
      <c r="G339" s="1"/>
      <c r="H339" s="1"/>
      <c r="I339" s="1"/>
    </row>
    <row r="340" spans="4:9" ht="15.75" customHeight="1" x14ac:dyDescent="0.25">
      <c r="D340" s="1"/>
      <c r="E340" s="1"/>
      <c r="F340" s="1"/>
      <c r="G340" s="1"/>
      <c r="H340" s="1"/>
      <c r="I340" s="1"/>
    </row>
    <row r="341" spans="4:9" ht="15.75" customHeight="1" x14ac:dyDescent="0.25">
      <c r="D341" s="1"/>
      <c r="E341" s="1"/>
      <c r="F341" s="1"/>
      <c r="G341" s="1"/>
      <c r="H341" s="1"/>
      <c r="I341" s="1"/>
    </row>
    <row r="342" spans="4:9" ht="15.75" customHeight="1" x14ac:dyDescent="0.25">
      <c r="D342" s="1"/>
      <c r="E342" s="1"/>
      <c r="F342" s="1"/>
      <c r="G342" s="1"/>
      <c r="H342" s="1"/>
      <c r="I342" s="1"/>
    </row>
    <row r="343" spans="4:9" ht="15.75" customHeight="1" x14ac:dyDescent="0.25">
      <c r="D343" s="1"/>
      <c r="E343" s="1"/>
      <c r="F343" s="1"/>
      <c r="G343" s="1"/>
      <c r="H343" s="1"/>
      <c r="I343" s="1"/>
    </row>
    <row r="344" spans="4:9" ht="15.75" customHeight="1" x14ac:dyDescent="0.25">
      <c r="D344" s="1"/>
      <c r="E344" s="1"/>
      <c r="F344" s="1"/>
      <c r="G344" s="1"/>
      <c r="H344" s="1"/>
      <c r="I344" s="1"/>
    </row>
    <row r="345" spans="4:9" ht="15.75" customHeight="1" x14ac:dyDescent="0.25">
      <c r="D345" s="1"/>
      <c r="E345" s="1"/>
      <c r="F345" s="1"/>
      <c r="G345" s="1"/>
      <c r="H345" s="1"/>
      <c r="I345" s="1"/>
    </row>
    <row r="346" spans="4:9" ht="15.75" customHeight="1" x14ac:dyDescent="0.25">
      <c r="D346" s="1"/>
      <c r="E346" s="1"/>
      <c r="F346" s="1"/>
      <c r="G346" s="1"/>
      <c r="H346" s="1"/>
      <c r="I346" s="1"/>
    </row>
    <row r="347" spans="4:9" ht="15.75" customHeight="1" x14ac:dyDescent="0.25">
      <c r="D347" s="1"/>
      <c r="E347" s="1"/>
      <c r="F347" s="1"/>
      <c r="G347" s="1"/>
      <c r="H347" s="1"/>
      <c r="I347" s="1"/>
    </row>
    <row r="348" spans="4:9" ht="15.75" customHeight="1" x14ac:dyDescent="0.25">
      <c r="D348" s="1"/>
      <c r="E348" s="1"/>
      <c r="F348" s="1"/>
      <c r="G348" s="1"/>
      <c r="H348" s="1"/>
      <c r="I348" s="1"/>
    </row>
    <row r="349" spans="4:9" ht="15.75" customHeight="1" x14ac:dyDescent="0.25">
      <c r="D349" s="1"/>
      <c r="E349" s="1"/>
      <c r="F349" s="1"/>
      <c r="G349" s="1"/>
      <c r="H349" s="1"/>
      <c r="I349" s="1"/>
    </row>
    <row r="350" spans="4:9" ht="15.75" customHeight="1" x14ac:dyDescent="0.25">
      <c r="D350" s="1"/>
      <c r="E350" s="1"/>
      <c r="F350" s="1"/>
      <c r="G350" s="1"/>
      <c r="H350" s="1"/>
      <c r="I350" s="1"/>
    </row>
    <row r="351" spans="4:9" ht="15.75" customHeight="1" x14ac:dyDescent="0.25">
      <c r="D351" s="1"/>
      <c r="E351" s="1"/>
      <c r="F351" s="1"/>
      <c r="G351" s="1"/>
      <c r="H351" s="1"/>
      <c r="I351" s="1"/>
    </row>
    <row r="352" spans="4:9" ht="15.75" customHeight="1" x14ac:dyDescent="0.25">
      <c r="D352" s="1"/>
      <c r="E352" s="1"/>
      <c r="F352" s="1"/>
      <c r="G352" s="1"/>
      <c r="H352" s="1"/>
      <c r="I352" s="1"/>
    </row>
    <row r="353" spans="4:9" ht="15.75" customHeight="1" x14ac:dyDescent="0.25">
      <c r="D353" s="1"/>
      <c r="E353" s="1"/>
      <c r="F353" s="1"/>
      <c r="G353" s="1"/>
      <c r="H353" s="1"/>
      <c r="I353" s="1"/>
    </row>
    <row r="354" spans="4:9" ht="15.75" customHeight="1" x14ac:dyDescent="0.25">
      <c r="D354" s="1"/>
      <c r="E354" s="1"/>
      <c r="F354" s="1"/>
      <c r="G354" s="1"/>
      <c r="H354" s="1"/>
      <c r="I354" s="1"/>
    </row>
    <row r="355" spans="4:9" ht="15.75" customHeight="1" x14ac:dyDescent="0.25">
      <c r="D355" s="1"/>
      <c r="E355" s="1"/>
      <c r="F355" s="1"/>
      <c r="G355" s="1"/>
      <c r="H355" s="1"/>
      <c r="I355" s="1"/>
    </row>
    <row r="356" spans="4:9" ht="15.75" customHeight="1" x14ac:dyDescent="0.25">
      <c r="D356" s="1"/>
      <c r="E356" s="1"/>
      <c r="F356" s="1"/>
      <c r="G356" s="1"/>
      <c r="H356" s="1"/>
      <c r="I356" s="1"/>
    </row>
    <row r="357" spans="4:9" ht="15.75" customHeight="1" x14ac:dyDescent="0.25">
      <c r="D357" s="1"/>
      <c r="E357" s="1"/>
      <c r="F357" s="1"/>
      <c r="G357" s="1"/>
      <c r="H357" s="1"/>
      <c r="I357" s="1"/>
    </row>
    <row r="358" spans="4:9" ht="15.75" customHeight="1" x14ac:dyDescent="0.25">
      <c r="D358" s="1"/>
      <c r="E358" s="1"/>
      <c r="F358" s="1"/>
      <c r="G358" s="1"/>
      <c r="H358" s="1"/>
      <c r="I358" s="1"/>
    </row>
    <row r="359" spans="4:9" ht="15.75" customHeight="1" x14ac:dyDescent="0.25">
      <c r="D359" s="1"/>
      <c r="E359" s="1"/>
      <c r="F359" s="1"/>
      <c r="G359" s="1"/>
      <c r="H359" s="1"/>
      <c r="I359" s="1"/>
    </row>
    <row r="360" spans="4:9" ht="15.75" customHeight="1" x14ac:dyDescent="0.25">
      <c r="D360" s="1"/>
      <c r="E360" s="1"/>
      <c r="F360" s="1"/>
      <c r="G360" s="1"/>
      <c r="H360" s="1"/>
      <c r="I360" s="1"/>
    </row>
    <row r="361" spans="4:9" ht="15.75" customHeight="1" x14ac:dyDescent="0.25">
      <c r="D361" s="1"/>
      <c r="E361" s="1"/>
      <c r="F361" s="1"/>
      <c r="G361" s="1"/>
      <c r="H361" s="1"/>
      <c r="I361" s="1"/>
    </row>
    <row r="362" spans="4:9" ht="15.75" customHeight="1" x14ac:dyDescent="0.25">
      <c r="D362" s="1"/>
      <c r="E362" s="1"/>
      <c r="F362" s="1"/>
      <c r="G362" s="1"/>
      <c r="H362" s="1"/>
      <c r="I362" s="1"/>
    </row>
    <row r="363" spans="4:9" ht="15.75" customHeight="1" x14ac:dyDescent="0.25">
      <c r="D363" s="1"/>
      <c r="E363" s="1"/>
      <c r="F363" s="1"/>
      <c r="G363" s="1"/>
      <c r="H363" s="1"/>
      <c r="I363" s="1"/>
    </row>
    <row r="364" spans="4:9" ht="15.75" customHeight="1" x14ac:dyDescent="0.25">
      <c r="D364" s="1"/>
      <c r="E364" s="1"/>
      <c r="F364" s="1"/>
      <c r="G364" s="1"/>
      <c r="H364" s="1"/>
      <c r="I364" s="1"/>
    </row>
    <row r="365" spans="4:9" ht="15.75" customHeight="1" x14ac:dyDescent="0.25">
      <c r="D365" s="1"/>
      <c r="E365" s="1"/>
      <c r="F365" s="1"/>
      <c r="G365" s="1"/>
      <c r="H365" s="1"/>
      <c r="I365" s="1"/>
    </row>
    <row r="366" spans="4:9" ht="15.75" customHeight="1" x14ac:dyDescent="0.25">
      <c r="D366" s="1"/>
      <c r="E366" s="1"/>
      <c r="F366" s="1"/>
      <c r="G366" s="1"/>
      <c r="H366" s="1"/>
      <c r="I366" s="1"/>
    </row>
    <row r="367" spans="4:9" ht="15.75" customHeight="1" x14ac:dyDescent="0.25">
      <c r="D367" s="1"/>
      <c r="E367" s="1"/>
      <c r="F367" s="1"/>
      <c r="G367" s="1"/>
      <c r="H367" s="1"/>
      <c r="I367" s="1"/>
    </row>
    <row r="368" spans="4:9" ht="15.75" customHeight="1" x14ac:dyDescent="0.25">
      <c r="D368" s="1"/>
      <c r="E368" s="1"/>
      <c r="F368" s="1"/>
      <c r="G368" s="1"/>
      <c r="H368" s="1"/>
      <c r="I368" s="1"/>
    </row>
    <row r="369" spans="4:9" ht="15.75" customHeight="1" x14ac:dyDescent="0.25">
      <c r="D369" s="1"/>
      <c r="E369" s="1"/>
      <c r="F369" s="1"/>
      <c r="G369" s="1"/>
      <c r="H369" s="1"/>
      <c r="I369" s="1"/>
    </row>
    <row r="370" spans="4:9" ht="15.75" customHeight="1" x14ac:dyDescent="0.25">
      <c r="D370" s="1"/>
      <c r="E370" s="1"/>
      <c r="F370" s="1"/>
      <c r="G370" s="1"/>
      <c r="H370" s="1"/>
      <c r="I370" s="1"/>
    </row>
    <row r="371" spans="4:9" ht="15.75" customHeight="1" x14ac:dyDescent="0.25">
      <c r="D371" s="1"/>
      <c r="E371" s="1"/>
      <c r="F371" s="1"/>
      <c r="G371" s="1"/>
      <c r="H371" s="1"/>
      <c r="I371" s="1"/>
    </row>
    <row r="372" spans="4:9" ht="15.75" customHeight="1" x14ac:dyDescent="0.25">
      <c r="D372" s="1"/>
      <c r="E372" s="1"/>
      <c r="F372" s="1"/>
      <c r="G372" s="1"/>
      <c r="H372" s="1"/>
      <c r="I372" s="1"/>
    </row>
    <row r="373" spans="4:9" ht="15.75" customHeight="1" x14ac:dyDescent="0.25">
      <c r="D373" s="1"/>
      <c r="E373" s="1"/>
      <c r="F373" s="1"/>
      <c r="G373" s="1"/>
      <c r="H373" s="1"/>
      <c r="I373" s="1"/>
    </row>
    <row r="374" spans="4:9" ht="15.75" customHeight="1" x14ac:dyDescent="0.25">
      <c r="D374" s="1"/>
      <c r="E374" s="1"/>
      <c r="F374" s="1"/>
      <c r="G374" s="1"/>
      <c r="H374" s="1"/>
      <c r="I374" s="1"/>
    </row>
    <row r="375" spans="4:9" ht="15.75" customHeight="1" x14ac:dyDescent="0.25">
      <c r="D375" s="1"/>
      <c r="E375" s="1"/>
      <c r="F375" s="1"/>
      <c r="G375" s="1"/>
      <c r="H375" s="1"/>
      <c r="I375" s="1"/>
    </row>
    <row r="376" spans="4:9" ht="15.75" customHeight="1" x14ac:dyDescent="0.25">
      <c r="D376" s="1"/>
      <c r="E376" s="1"/>
      <c r="F376" s="1"/>
      <c r="G376" s="1"/>
      <c r="H376" s="1"/>
      <c r="I376" s="1"/>
    </row>
    <row r="377" spans="4:9" ht="15.75" customHeight="1" x14ac:dyDescent="0.25">
      <c r="D377" s="1"/>
      <c r="E377" s="1"/>
      <c r="F377" s="1"/>
      <c r="G377" s="1"/>
      <c r="H377" s="1"/>
      <c r="I377" s="1"/>
    </row>
    <row r="378" spans="4:9" ht="15.75" customHeight="1" x14ac:dyDescent="0.25">
      <c r="D378" s="1"/>
      <c r="E378" s="1"/>
      <c r="F378" s="1"/>
      <c r="G378" s="1"/>
      <c r="H378" s="1"/>
      <c r="I378" s="1"/>
    </row>
    <row r="379" spans="4:9" ht="15.75" customHeight="1" x14ac:dyDescent="0.25">
      <c r="D379" s="1"/>
      <c r="E379" s="1"/>
      <c r="F379" s="1"/>
      <c r="G379" s="1"/>
      <c r="H379" s="1"/>
      <c r="I379" s="1"/>
    </row>
    <row r="380" spans="4:9" ht="15.75" customHeight="1" x14ac:dyDescent="0.25">
      <c r="D380" s="1"/>
      <c r="E380" s="1"/>
      <c r="F380" s="1"/>
      <c r="G380" s="1"/>
      <c r="H380" s="1"/>
      <c r="I380" s="1"/>
    </row>
    <row r="381" spans="4:9" ht="15.75" customHeight="1" x14ac:dyDescent="0.25">
      <c r="D381" s="1"/>
      <c r="E381" s="1"/>
      <c r="F381" s="1"/>
      <c r="G381" s="1"/>
      <c r="H381" s="1"/>
      <c r="I381" s="1"/>
    </row>
    <row r="382" spans="4:9" ht="15.75" customHeight="1" x14ac:dyDescent="0.25">
      <c r="D382" s="1"/>
      <c r="E382" s="1"/>
      <c r="F382" s="1"/>
      <c r="G382" s="1"/>
      <c r="H382" s="1"/>
      <c r="I382" s="1"/>
    </row>
    <row r="383" spans="4:9" ht="15.75" customHeight="1" x14ac:dyDescent="0.25">
      <c r="D383" s="1"/>
      <c r="E383" s="1"/>
      <c r="F383" s="1"/>
      <c r="G383" s="1"/>
      <c r="H383" s="1"/>
      <c r="I383" s="1"/>
    </row>
    <row r="384" spans="4:9" ht="15.75" customHeight="1" x14ac:dyDescent="0.25">
      <c r="D384" s="1"/>
      <c r="E384" s="1"/>
      <c r="F384" s="1"/>
      <c r="G384" s="1"/>
      <c r="H384" s="1"/>
      <c r="I384" s="1"/>
    </row>
    <row r="385" spans="4:9" ht="15.75" customHeight="1" x14ac:dyDescent="0.25">
      <c r="D385" s="1"/>
      <c r="E385" s="1"/>
      <c r="F385" s="1"/>
      <c r="G385" s="1"/>
      <c r="H385" s="1"/>
      <c r="I385" s="1"/>
    </row>
    <row r="386" spans="4:9" ht="15.75" customHeight="1" x14ac:dyDescent="0.25">
      <c r="D386" s="1"/>
      <c r="E386" s="1"/>
      <c r="F386" s="1"/>
      <c r="G386" s="1"/>
      <c r="H386" s="1"/>
      <c r="I386" s="1"/>
    </row>
    <row r="387" spans="4:9" ht="15.75" customHeight="1" x14ac:dyDescent="0.25">
      <c r="D387" s="1"/>
      <c r="E387" s="1"/>
      <c r="F387" s="1"/>
      <c r="G387" s="1"/>
      <c r="H387" s="1"/>
      <c r="I387" s="1"/>
    </row>
    <row r="388" spans="4:9" ht="15.75" customHeight="1" x14ac:dyDescent="0.25">
      <c r="D388" s="1"/>
      <c r="E388" s="1"/>
      <c r="F388" s="1"/>
      <c r="G388" s="1"/>
      <c r="H388" s="1"/>
      <c r="I388" s="1"/>
    </row>
    <row r="389" spans="4:9" ht="15.75" customHeight="1" x14ac:dyDescent="0.25">
      <c r="D389" s="1"/>
      <c r="E389" s="1"/>
      <c r="F389" s="1"/>
      <c r="G389" s="1"/>
      <c r="H389" s="1"/>
      <c r="I389" s="1"/>
    </row>
    <row r="390" spans="4:9" ht="15.75" customHeight="1" x14ac:dyDescent="0.25">
      <c r="D390" s="1"/>
      <c r="E390" s="1"/>
      <c r="F390" s="1"/>
      <c r="G390" s="1"/>
      <c r="H390" s="1"/>
      <c r="I390" s="1"/>
    </row>
    <row r="391" spans="4:9" ht="15.75" customHeight="1" x14ac:dyDescent="0.25">
      <c r="D391" s="1"/>
      <c r="E391" s="1"/>
      <c r="F391" s="1"/>
      <c r="G391" s="1"/>
      <c r="H391" s="1"/>
      <c r="I391" s="1"/>
    </row>
    <row r="392" spans="4:9" ht="15.75" customHeight="1" x14ac:dyDescent="0.25">
      <c r="D392" s="1"/>
      <c r="E392" s="1"/>
      <c r="F392" s="1"/>
      <c r="G392" s="1"/>
      <c r="H392" s="1"/>
      <c r="I392" s="1"/>
    </row>
    <row r="393" spans="4:9" ht="15.75" customHeight="1" x14ac:dyDescent="0.25">
      <c r="D393" s="1"/>
      <c r="E393" s="1"/>
      <c r="F393" s="1"/>
      <c r="G393" s="1"/>
      <c r="H393" s="1"/>
      <c r="I393" s="1"/>
    </row>
    <row r="394" spans="4:9" ht="15.75" customHeight="1" x14ac:dyDescent="0.25">
      <c r="D394" s="1"/>
      <c r="E394" s="1"/>
      <c r="F394" s="1"/>
      <c r="G394" s="1"/>
      <c r="H394" s="1"/>
      <c r="I394" s="1"/>
    </row>
    <row r="395" spans="4:9" ht="15.75" customHeight="1" x14ac:dyDescent="0.25">
      <c r="D395" s="1"/>
      <c r="E395" s="1"/>
      <c r="F395" s="1"/>
      <c r="G395" s="1"/>
      <c r="H395" s="1"/>
      <c r="I395" s="1"/>
    </row>
    <row r="396" spans="4:9" ht="15.75" customHeight="1" x14ac:dyDescent="0.25">
      <c r="D396" s="1"/>
      <c r="E396" s="1"/>
      <c r="F396" s="1"/>
      <c r="G396" s="1"/>
      <c r="H396" s="1"/>
      <c r="I396" s="1"/>
    </row>
    <row r="397" spans="4:9" ht="15.75" customHeight="1" x14ac:dyDescent="0.25">
      <c r="D397" s="1"/>
      <c r="E397" s="1"/>
      <c r="F397" s="1"/>
      <c r="G397" s="1"/>
      <c r="H397" s="1"/>
      <c r="I397" s="1"/>
    </row>
    <row r="398" spans="4:9" ht="15.75" customHeight="1" x14ac:dyDescent="0.25">
      <c r="D398" s="1"/>
      <c r="E398" s="1"/>
      <c r="F398" s="1"/>
      <c r="G398" s="1"/>
      <c r="H398" s="1"/>
      <c r="I398" s="1"/>
    </row>
    <row r="399" spans="4:9" ht="15.75" customHeight="1" x14ac:dyDescent="0.25">
      <c r="D399" s="1"/>
      <c r="E399" s="1"/>
      <c r="F399" s="1"/>
      <c r="G399" s="1"/>
      <c r="H399" s="1"/>
      <c r="I399" s="1"/>
    </row>
    <row r="400" spans="4:9" ht="15.75" customHeight="1" x14ac:dyDescent="0.25">
      <c r="D400" s="1"/>
      <c r="E400" s="1"/>
      <c r="F400" s="1"/>
      <c r="G400" s="1"/>
      <c r="H400" s="1"/>
      <c r="I400" s="1"/>
    </row>
    <row r="401" spans="4:9" ht="15.75" customHeight="1" x14ac:dyDescent="0.25">
      <c r="D401" s="1"/>
      <c r="E401" s="1"/>
      <c r="F401" s="1"/>
      <c r="G401" s="1"/>
      <c r="H401" s="1"/>
      <c r="I401" s="1"/>
    </row>
    <row r="402" spans="4:9" ht="15.75" customHeight="1" x14ac:dyDescent="0.25">
      <c r="D402" s="1"/>
      <c r="E402" s="1"/>
      <c r="F402" s="1"/>
      <c r="G402" s="1"/>
      <c r="H402" s="1"/>
      <c r="I402" s="1"/>
    </row>
    <row r="403" spans="4:9" ht="15.75" customHeight="1" x14ac:dyDescent="0.25">
      <c r="D403" s="1"/>
      <c r="E403" s="1"/>
      <c r="F403" s="1"/>
      <c r="G403" s="1"/>
      <c r="H403" s="1"/>
      <c r="I403" s="1"/>
    </row>
    <row r="404" spans="4:9" ht="15.75" customHeight="1" x14ac:dyDescent="0.25">
      <c r="D404" s="1"/>
      <c r="E404" s="1"/>
      <c r="F404" s="1"/>
      <c r="G404" s="1"/>
      <c r="H404" s="1"/>
      <c r="I404" s="1"/>
    </row>
    <row r="405" spans="4:9" ht="15.75" customHeight="1" x14ac:dyDescent="0.25">
      <c r="D405" s="1"/>
      <c r="E405" s="1"/>
      <c r="F405" s="1"/>
      <c r="G405" s="1"/>
      <c r="H405" s="1"/>
      <c r="I405" s="1"/>
    </row>
    <row r="406" spans="4:9" ht="15.75" customHeight="1" x14ac:dyDescent="0.25">
      <c r="D406" s="1"/>
      <c r="E406" s="1"/>
      <c r="F406" s="1"/>
      <c r="G406" s="1"/>
      <c r="H406" s="1"/>
      <c r="I406" s="1"/>
    </row>
    <row r="407" spans="4:9" ht="15.75" customHeight="1" x14ac:dyDescent="0.25">
      <c r="D407" s="1"/>
      <c r="E407" s="1"/>
      <c r="F407" s="1"/>
      <c r="G407" s="1"/>
      <c r="H407" s="1"/>
      <c r="I407" s="1"/>
    </row>
    <row r="408" spans="4:9" ht="15.75" customHeight="1" x14ac:dyDescent="0.25">
      <c r="D408" s="1"/>
      <c r="E408" s="1"/>
      <c r="F408" s="1"/>
      <c r="G408" s="1"/>
      <c r="H408" s="1"/>
      <c r="I408" s="1"/>
    </row>
    <row r="409" spans="4:9" ht="15.75" customHeight="1" x14ac:dyDescent="0.25">
      <c r="D409" s="1"/>
      <c r="E409" s="1"/>
      <c r="F409" s="1"/>
      <c r="G409" s="1"/>
      <c r="H409" s="1"/>
      <c r="I409" s="1"/>
    </row>
    <row r="410" spans="4:9" ht="15.75" customHeight="1" x14ac:dyDescent="0.25">
      <c r="D410" s="1"/>
      <c r="E410" s="1"/>
      <c r="F410" s="1"/>
      <c r="G410" s="1"/>
      <c r="H410" s="1"/>
      <c r="I410" s="1"/>
    </row>
    <row r="411" spans="4:9" ht="15.75" customHeight="1" x14ac:dyDescent="0.25">
      <c r="D411" s="1"/>
      <c r="E411" s="1"/>
      <c r="F411" s="1"/>
      <c r="G411" s="1"/>
      <c r="H411" s="1"/>
      <c r="I411" s="1"/>
    </row>
    <row r="412" spans="4:9" ht="15.75" customHeight="1" x14ac:dyDescent="0.25">
      <c r="D412" s="1"/>
      <c r="E412" s="1"/>
      <c r="F412" s="1"/>
      <c r="G412" s="1"/>
      <c r="H412" s="1"/>
      <c r="I412" s="1"/>
    </row>
    <row r="413" spans="4:9" ht="15.75" customHeight="1" x14ac:dyDescent="0.25">
      <c r="D413" s="1"/>
      <c r="E413" s="1"/>
      <c r="F413" s="1"/>
      <c r="G413" s="1"/>
      <c r="H413" s="1"/>
      <c r="I413" s="1"/>
    </row>
    <row r="414" spans="4:9" ht="15.75" customHeight="1" x14ac:dyDescent="0.25">
      <c r="D414" s="1"/>
      <c r="E414" s="1"/>
      <c r="F414" s="1"/>
      <c r="G414" s="1"/>
      <c r="H414" s="1"/>
      <c r="I414" s="1"/>
    </row>
    <row r="415" spans="4:9" ht="15.75" customHeight="1" x14ac:dyDescent="0.25">
      <c r="D415" s="1"/>
      <c r="E415" s="1"/>
      <c r="F415" s="1"/>
      <c r="G415" s="1"/>
      <c r="H415" s="1"/>
      <c r="I415" s="1"/>
    </row>
    <row r="416" spans="4:9" ht="15.75" customHeight="1" x14ac:dyDescent="0.25">
      <c r="D416" s="1"/>
      <c r="E416" s="1"/>
      <c r="F416" s="1"/>
      <c r="G416" s="1"/>
      <c r="H416" s="1"/>
      <c r="I416" s="1"/>
    </row>
    <row r="417" spans="4:9" ht="15.75" customHeight="1" x14ac:dyDescent="0.25">
      <c r="D417" s="1"/>
      <c r="E417" s="1"/>
      <c r="F417" s="1"/>
      <c r="G417" s="1"/>
      <c r="H417" s="1"/>
      <c r="I417" s="1"/>
    </row>
    <row r="418" spans="4:9" ht="15.75" customHeight="1" x14ac:dyDescent="0.25">
      <c r="D418" s="1"/>
      <c r="E418" s="1"/>
      <c r="F418" s="1"/>
      <c r="G418" s="1"/>
      <c r="H418" s="1"/>
      <c r="I418" s="1"/>
    </row>
    <row r="419" spans="4:9" ht="15.75" customHeight="1" x14ac:dyDescent="0.25">
      <c r="D419" s="1"/>
      <c r="E419" s="1"/>
      <c r="F419" s="1"/>
      <c r="G419" s="1"/>
      <c r="H419" s="1"/>
      <c r="I419" s="1"/>
    </row>
    <row r="420" spans="4:9" ht="15.75" customHeight="1" x14ac:dyDescent="0.25">
      <c r="D420" s="1"/>
      <c r="E420" s="1"/>
      <c r="F420" s="1"/>
      <c r="G420" s="1"/>
      <c r="H420" s="1"/>
      <c r="I420" s="1"/>
    </row>
    <row r="421" spans="4:9" ht="15.75" customHeight="1" x14ac:dyDescent="0.25">
      <c r="D421" s="1"/>
      <c r="E421" s="1"/>
      <c r="F421" s="1"/>
      <c r="G421" s="1"/>
      <c r="H421" s="1"/>
      <c r="I421" s="1"/>
    </row>
    <row r="422" spans="4:9" ht="15.75" customHeight="1" x14ac:dyDescent="0.25">
      <c r="D422" s="1"/>
      <c r="E422" s="1"/>
      <c r="F422" s="1"/>
      <c r="G422" s="1"/>
      <c r="H422" s="1"/>
      <c r="I422" s="1"/>
    </row>
    <row r="423" spans="4:9" ht="15.75" customHeight="1" x14ac:dyDescent="0.25">
      <c r="D423" s="1"/>
      <c r="E423" s="1"/>
      <c r="F423" s="1"/>
      <c r="G423" s="1"/>
      <c r="H423" s="1"/>
      <c r="I423" s="1"/>
    </row>
    <row r="424" spans="4:9" ht="15.75" customHeight="1" x14ac:dyDescent="0.25">
      <c r="D424" s="1"/>
      <c r="E424" s="1"/>
      <c r="F424" s="1"/>
      <c r="G424" s="1"/>
      <c r="H424" s="1"/>
      <c r="I424" s="1"/>
    </row>
    <row r="425" spans="4:9" ht="15.75" customHeight="1" x14ac:dyDescent="0.25">
      <c r="D425" s="1"/>
      <c r="E425" s="1"/>
      <c r="F425" s="1"/>
      <c r="G425" s="1"/>
      <c r="H425" s="1"/>
      <c r="I425" s="1"/>
    </row>
    <row r="426" spans="4:9" ht="15.75" customHeight="1" x14ac:dyDescent="0.25">
      <c r="D426" s="1"/>
      <c r="E426" s="1"/>
      <c r="F426" s="1"/>
      <c r="G426" s="1"/>
      <c r="H426" s="1"/>
      <c r="I426" s="1"/>
    </row>
    <row r="427" spans="4:9" ht="15.75" customHeight="1" x14ac:dyDescent="0.25">
      <c r="D427" s="1"/>
      <c r="E427" s="1"/>
      <c r="F427" s="1"/>
      <c r="G427" s="1"/>
      <c r="H427" s="1"/>
      <c r="I427" s="1"/>
    </row>
    <row r="428" spans="4:9" ht="15.75" customHeight="1" x14ac:dyDescent="0.25">
      <c r="D428" s="1"/>
      <c r="E428" s="1"/>
      <c r="F428" s="1"/>
      <c r="G428" s="1"/>
      <c r="H428" s="1"/>
      <c r="I428" s="1"/>
    </row>
    <row r="429" spans="4:9" ht="15.75" customHeight="1" x14ac:dyDescent="0.25">
      <c r="D429" s="1"/>
      <c r="E429" s="1"/>
      <c r="F429" s="1"/>
      <c r="G429" s="1"/>
      <c r="H429" s="1"/>
      <c r="I429" s="1"/>
    </row>
    <row r="430" spans="4:9" ht="15.75" customHeight="1" x14ac:dyDescent="0.25">
      <c r="D430" s="1"/>
      <c r="E430" s="1"/>
      <c r="F430" s="1"/>
      <c r="G430" s="1"/>
      <c r="H430" s="1"/>
      <c r="I430" s="1"/>
    </row>
    <row r="431" spans="4:9" ht="15.75" customHeight="1" x14ac:dyDescent="0.25">
      <c r="D431" s="1"/>
      <c r="E431" s="1"/>
      <c r="F431" s="1"/>
      <c r="G431" s="1"/>
      <c r="H431" s="1"/>
      <c r="I431" s="1"/>
    </row>
    <row r="432" spans="4:9" ht="15.75" customHeight="1" x14ac:dyDescent="0.25">
      <c r="D432" s="1"/>
      <c r="E432" s="1"/>
      <c r="F432" s="1"/>
      <c r="G432" s="1"/>
      <c r="H432" s="1"/>
      <c r="I432" s="1"/>
    </row>
    <row r="433" spans="4:9" ht="15.75" customHeight="1" x14ac:dyDescent="0.25">
      <c r="D433" s="1"/>
      <c r="E433" s="1"/>
      <c r="F433" s="1"/>
      <c r="G433" s="1"/>
      <c r="H433" s="1"/>
      <c r="I433" s="1"/>
    </row>
    <row r="434" spans="4:9" ht="15.75" customHeight="1" x14ac:dyDescent="0.25">
      <c r="D434" s="1"/>
      <c r="E434" s="1"/>
      <c r="F434" s="1"/>
      <c r="G434" s="1"/>
      <c r="H434" s="1"/>
      <c r="I434" s="1"/>
    </row>
    <row r="435" spans="4:9" ht="15.75" customHeight="1" x14ac:dyDescent="0.25">
      <c r="D435" s="1"/>
      <c r="E435" s="1"/>
      <c r="F435" s="1"/>
      <c r="G435" s="1"/>
      <c r="H435" s="1"/>
      <c r="I435" s="1"/>
    </row>
    <row r="436" spans="4:9" ht="15.75" customHeight="1" x14ac:dyDescent="0.25">
      <c r="D436" s="1"/>
      <c r="E436" s="1"/>
      <c r="F436" s="1"/>
      <c r="G436" s="1"/>
      <c r="H436" s="1"/>
      <c r="I436" s="1"/>
    </row>
    <row r="437" spans="4:9" ht="15.75" customHeight="1" x14ac:dyDescent="0.25">
      <c r="D437" s="1"/>
      <c r="E437" s="1"/>
      <c r="F437" s="1"/>
      <c r="G437" s="1"/>
      <c r="H437" s="1"/>
      <c r="I437" s="1"/>
    </row>
    <row r="438" spans="4:9" ht="15.75" customHeight="1" x14ac:dyDescent="0.25">
      <c r="D438" s="1"/>
      <c r="E438" s="1"/>
      <c r="F438" s="1"/>
      <c r="G438" s="1"/>
      <c r="H438" s="1"/>
      <c r="I438" s="1"/>
    </row>
    <row r="439" spans="4:9" ht="15.75" customHeight="1" x14ac:dyDescent="0.25">
      <c r="D439" s="1"/>
      <c r="E439" s="1"/>
      <c r="F439" s="1"/>
      <c r="G439" s="1"/>
      <c r="H439" s="1"/>
      <c r="I439" s="1"/>
    </row>
    <row r="440" spans="4:9" ht="15.75" customHeight="1" x14ac:dyDescent="0.25">
      <c r="D440" s="1"/>
      <c r="E440" s="1"/>
      <c r="F440" s="1"/>
      <c r="G440" s="1"/>
      <c r="H440" s="1"/>
      <c r="I440" s="1"/>
    </row>
    <row r="441" spans="4:9" ht="15.75" customHeight="1" x14ac:dyDescent="0.25">
      <c r="D441" s="1"/>
      <c r="E441" s="1"/>
      <c r="F441" s="1"/>
      <c r="G441" s="1"/>
      <c r="H441" s="1"/>
      <c r="I441" s="1"/>
    </row>
    <row r="442" spans="4:9" ht="15.75" customHeight="1" x14ac:dyDescent="0.25">
      <c r="D442" s="1"/>
      <c r="E442" s="1"/>
      <c r="F442" s="1"/>
      <c r="G442" s="1"/>
      <c r="H442" s="1"/>
      <c r="I442" s="1"/>
    </row>
    <row r="443" spans="4:9" ht="15.75" customHeight="1" x14ac:dyDescent="0.25">
      <c r="D443" s="1"/>
      <c r="E443" s="1"/>
      <c r="F443" s="1"/>
      <c r="G443" s="1"/>
      <c r="H443" s="1"/>
      <c r="I443" s="1"/>
    </row>
    <row r="444" spans="4:9" ht="15.75" customHeight="1" x14ac:dyDescent="0.25">
      <c r="D444" s="1"/>
      <c r="E444" s="1"/>
      <c r="F444" s="1"/>
      <c r="G444" s="1"/>
      <c r="H444" s="1"/>
      <c r="I444" s="1"/>
    </row>
    <row r="445" spans="4:9" ht="15.75" customHeight="1" x14ac:dyDescent="0.25">
      <c r="D445" s="1"/>
      <c r="E445" s="1"/>
      <c r="F445" s="1"/>
      <c r="G445" s="1"/>
      <c r="H445" s="1"/>
      <c r="I445" s="1"/>
    </row>
    <row r="446" spans="4:9" ht="15.75" customHeight="1" x14ac:dyDescent="0.25">
      <c r="D446" s="1"/>
      <c r="E446" s="1"/>
      <c r="F446" s="1"/>
      <c r="G446" s="1"/>
      <c r="H446" s="1"/>
      <c r="I446" s="1"/>
    </row>
    <row r="447" spans="4:9" ht="15.75" customHeight="1" x14ac:dyDescent="0.25">
      <c r="D447" s="1"/>
      <c r="E447" s="1"/>
      <c r="F447" s="1"/>
      <c r="G447" s="1"/>
      <c r="H447" s="1"/>
      <c r="I447" s="1"/>
    </row>
    <row r="448" spans="4:9" ht="15.75" customHeight="1" x14ac:dyDescent="0.25">
      <c r="D448" s="1"/>
      <c r="E448" s="1"/>
      <c r="F448" s="1"/>
      <c r="G448" s="1"/>
      <c r="H448" s="1"/>
      <c r="I448" s="1"/>
    </row>
    <row r="449" spans="4:9" ht="15.75" customHeight="1" x14ac:dyDescent="0.25">
      <c r="D449" s="1"/>
      <c r="E449" s="1"/>
      <c r="F449" s="1"/>
      <c r="G449" s="1"/>
      <c r="H449" s="1"/>
      <c r="I449" s="1"/>
    </row>
    <row r="450" spans="4:9" ht="15.75" customHeight="1" x14ac:dyDescent="0.25">
      <c r="D450" s="1"/>
      <c r="E450" s="1"/>
      <c r="F450" s="1"/>
      <c r="G450" s="1"/>
      <c r="H450" s="1"/>
      <c r="I450" s="1"/>
    </row>
    <row r="451" spans="4:9" ht="15.75" customHeight="1" x14ac:dyDescent="0.25">
      <c r="D451" s="1"/>
      <c r="E451" s="1"/>
      <c r="F451" s="1"/>
      <c r="G451" s="1"/>
      <c r="H451" s="1"/>
      <c r="I451" s="1"/>
    </row>
    <row r="452" spans="4:9" ht="15.75" customHeight="1" x14ac:dyDescent="0.25">
      <c r="D452" s="1"/>
      <c r="E452" s="1"/>
      <c r="F452" s="1"/>
      <c r="G452" s="1"/>
      <c r="H452" s="1"/>
      <c r="I452" s="1"/>
    </row>
    <row r="453" spans="4:9" ht="15.75" customHeight="1" x14ac:dyDescent="0.25">
      <c r="D453" s="1"/>
      <c r="E453" s="1"/>
      <c r="F453" s="1"/>
      <c r="G453" s="1"/>
      <c r="H453" s="1"/>
      <c r="I453" s="1"/>
    </row>
    <row r="454" spans="4:9" ht="15.75" customHeight="1" x14ac:dyDescent="0.25">
      <c r="D454" s="1"/>
      <c r="E454" s="1"/>
      <c r="F454" s="1"/>
      <c r="G454" s="1"/>
      <c r="H454" s="1"/>
      <c r="I454" s="1"/>
    </row>
    <row r="455" spans="4:9" ht="15.75" customHeight="1" x14ac:dyDescent="0.25">
      <c r="D455" s="1"/>
      <c r="E455" s="1"/>
      <c r="F455" s="1"/>
      <c r="G455" s="1"/>
      <c r="H455" s="1"/>
      <c r="I455" s="1"/>
    </row>
    <row r="456" spans="4:9" ht="15.75" customHeight="1" x14ac:dyDescent="0.25">
      <c r="D456" s="1"/>
      <c r="E456" s="1"/>
      <c r="F456" s="1"/>
      <c r="G456" s="1"/>
      <c r="H456" s="1"/>
      <c r="I456" s="1"/>
    </row>
    <row r="457" spans="4:9" ht="15.75" customHeight="1" x14ac:dyDescent="0.25">
      <c r="D457" s="1"/>
      <c r="E457" s="1"/>
      <c r="F457" s="1"/>
      <c r="G457" s="1"/>
      <c r="H457" s="1"/>
      <c r="I457" s="1"/>
    </row>
    <row r="458" spans="4:9" ht="15.75" customHeight="1" x14ac:dyDescent="0.25">
      <c r="D458" s="1"/>
      <c r="E458" s="1"/>
      <c r="F458" s="1"/>
      <c r="G458" s="1"/>
      <c r="H458" s="1"/>
      <c r="I458" s="1"/>
    </row>
    <row r="459" spans="4:9" ht="15.75" customHeight="1" x14ac:dyDescent="0.25">
      <c r="D459" s="1"/>
      <c r="E459" s="1"/>
      <c r="F459" s="1"/>
      <c r="G459" s="1"/>
      <c r="H459" s="1"/>
      <c r="I459" s="1"/>
    </row>
    <row r="460" spans="4:9" ht="15.75" customHeight="1" x14ac:dyDescent="0.25">
      <c r="D460" s="1"/>
      <c r="E460" s="1"/>
      <c r="F460" s="1"/>
      <c r="G460" s="1"/>
      <c r="H460" s="1"/>
      <c r="I460" s="1"/>
    </row>
    <row r="461" spans="4:9" ht="15.75" customHeight="1" x14ac:dyDescent="0.25">
      <c r="D461" s="1"/>
      <c r="E461" s="1"/>
      <c r="F461" s="1"/>
      <c r="G461" s="1"/>
      <c r="H461" s="1"/>
      <c r="I461" s="1"/>
    </row>
    <row r="462" spans="4:9" ht="15.75" customHeight="1" x14ac:dyDescent="0.25">
      <c r="D462" s="1"/>
      <c r="E462" s="1"/>
      <c r="F462" s="1"/>
      <c r="G462" s="1"/>
      <c r="H462" s="1"/>
      <c r="I462" s="1"/>
    </row>
    <row r="463" spans="4:9" ht="15.75" customHeight="1" x14ac:dyDescent="0.25">
      <c r="D463" s="1"/>
      <c r="E463" s="1"/>
      <c r="F463" s="1"/>
      <c r="G463" s="1"/>
      <c r="H463" s="1"/>
      <c r="I463" s="1"/>
    </row>
    <row r="464" spans="4:9" ht="15.75" customHeight="1" x14ac:dyDescent="0.25">
      <c r="D464" s="1"/>
      <c r="E464" s="1"/>
      <c r="F464" s="1"/>
      <c r="G464" s="1"/>
      <c r="H464" s="1"/>
      <c r="I464" s="1"/>
    </row>
    <row r="465" spans="4:9" ht="15.75" customHeight="1" x14ac:dyDescent="0.25">
      <c r="D465" s="1"/>
      <c r="E465" s="1"/>
      <c r="F465" s="1"/>
      <c r="G465" s="1"/>
      <c r="H465" s="1"/>
      <c r="I465" s="1"/>
    </row>
    <row r="466" spans="4:9" ht="15.75" customHeight="1" x14ac:dyDescent="0.25">
      <c r="D466" s="1"/>
      <c r="E466" s="1"/>
      <c r="F466" s="1"/>
      <c r="G466" s="1"/>
      <c r="H466" s="1"/>
      <c r="I466" s="1"/>
    </row>
    <row r="467" spans="4:9" ht="15.75" customHeight="1" x14ac:dyDescent="0.25">
      <c r="D467" s="1"/>
      <c r="E467" s="1"/>
      <c r="F467" s="1"/>
      <c r="G467" s="1"/>
      <c r="H467" s="1"/>
      <c r="I467" s="1"/>
    </row>
    <row r="468" spans="4:9" ht="15.75" customHeight="1" x14ac:dyDescent="0.25">
      <c r="D468" s="1"/>
      <c r="E468" s="1"/>
      <c r="F468" s="1"/>
      <c r="G468" s="1"/>
      <c r="H468" s="1"/>
      <c r="I468" s="1"/>
    </row>
    <row r="469" spans="4:9" ht="15.75" customHeight="1" x14ac:dyDescent="0.25">
      <c r="D469" s="1"/>
      <c r="E469" s="1"/>
      <c r="F469" s="1"/>
      <c r="G469" s="1"/>
      <c r="H469" s="1"/>
      <c r="I469" s="1"/>
    </row>
    <row r="470" spans="4:9" ht="15.75" customHeight="1" x14ac:dyDescent="0.25">
      <c r="D470" s="1"/>
      <c r="E470" s="1"/>
      <c r="F470" s="1"/>
      <c r="G470" s="1"/>
      <c r="H470" s="1"/>
      <c r="I470" s="1"/>
    </row>
    <row r="471" spans="4:9" ht="15.75" customHeight="1" x14ac:dyDescent="0.25">
      <c r="D471" s="1"/>
      <c r="E471" s="1"/>
      <c r="F471" s="1"/>
      <c r="G471" s="1"/>
      <c r="H471" s="1"/>
      <c r="I471" s="1"/>
    </row>
    <row r="472" spans="4:9" ht="15.75" customHeight="1" x14ac:dyDescent="0.25">
      <c r="D472" s="1"/>
      <c r="E472" s="1"/>
      <c r="F472" s="1"/>
      <c r="G472" s="1"/>
      <c r="H472" s="1"/>
      <c r="I472" s="1"/>
    </row>
    <row r="473" spans="4:9" ht="15.75" customHeight="1" x14ac:dyDescent="0.25">
      <c r="D473" s="1"/>
      <c r="E473" s="1"/>
      <c r="F473" s="1"/>
      <c r="G473" s="1"/>
      <c r="H473" s="1"/>
      <c r="I473" s="1"/>
    </row>
    <row r="474" spans="4:9" ht="15.75" customHeight="1" x14ac:dyDescent="0.25">
      <c r="D474" s="1"/>
      <c r="E474" s="1"/>
      <c r="F474" s="1"/>
      <c r="G474" s="1"/>
      <c r="H474" s="1"/>
      <c r="I474" s="1"/>
    </row>
    <row r="475" spans="4:9" ht="15.75" customHeight="1" x14ac:dyDescent="0.25">
      <c r="D475" s="1"/>
      <c r="E475" s="1"/>
      <c r="F475" s="1"/>
      <c r="G475" s="1"/>
      <c r="H475" s="1"/>
      <c r="I475" s="1"/>
    </row>
    <row r="476" spans="4:9" ht="15.75" customHeight="1" x14ac:dyDescent="0.25">
      <c r="D476" s="1"/>
      <c r="E476" s="1"/>
      <c r="F476" s="1"/>
      <c r="G476" s="1"/>
      <c r="H476" s="1"/>
      <c r="I476" s="1"/>
    </row>
    <row r="477" spans="4:9" ht="15.75" customHeight="1" x14ac:dyDescent="0.25">
      <c r="D477" s="1"/>
      <c r="E477" s="1"/>
      <c r="F477" s="1"/>
      <c r="G477" s="1"/>
      <c r="H477" s="1"/>
      <c r="I477" s="1"/>
    </row>
    <row r="478" spans="4:9" ht="15.75" customHeight="1" x14ac:dyDescent="0.25">
      <c r="D478" s="1"/>
      <c r="E478" s="1"/>
      <c r="F478" s="1"/>
      <c r="G478" s="1"/>
      <c r="H478" s="1"/>
      <c r="I478" s="1"/>
    </row>
    <row r="479" spans="4:9" ht="15.75" customHeight="1" x14ac:dyDescent="0.25">
      <c r="D479" s="1"/>
      <c r="E479" s="1"/>
      <c r="F479" s="1"/>
      <c r="G479" s="1"/>
      <c r="H479" s="1"/>
      <c r="I479" s="1"/>
    </row>
    <row r="480" spans="4:9" ht="15.75" customHeight="1" x14ac:dyDescent="0.25">
      <c r="D480" s="1"/>
      <c r="E480" s="1"/>
      <c r="F480" s="1"/>
      <c r="G480" s="1"/>
      <c r="H480" s="1"/>
      <c r="I480" s="1"/>
    </row>
    <row r="481" spans="4:9" ht="15.75" customHeight="1" x14ac:dyDescent="0.25">
      <c r="D481" s="1"/>
      <c r="E481" s="1"/>
      <c r="F481" s="1"/>
      <c r="G481" s="1"/>
      <c r="H481" s="1"/>
      <c r="I481" s="1"/>
    </row>
    <row r="482" spans="4:9" ht="15.75" customHeight="1" x14ac:dyDescent="0.25">
      <c r="D482" s="1"/>
      <c r="E482" s="1"/>
      <c r="F482" s="1"/>
      <c r="G482" s="1"/>
      <c r="H482" s="1"/>
      <c r="I482" s="1"/>
    </row>
    <row r="483" spans="4:9" ht="15.75" customHeight="1" x14ac:dyDescent="0.25">
      <c r="D483" s="1"/>
      <c r="E483" s="1"/>
      <c r="F483" s="1"/>
      <c r="G483" s="1"/>
      <c r="H483" s="1"/>
      <c r="I483" s="1"/>
    </row>
    <row r="484" spans="4:9" ht="15.75" customHeight="1" x14ac:dyDescent="0.25">
      <c r="D484" s="1"/>
      <c r="E484" s="1"/>
      <c r="F484" s="1"/>
      <c r="G484" s="1"/>
      <c r="H484" s="1"/>
      <c r="I484" s="1"/>
    </row>
    <row r="485" spans="4:9" ht="15.75" customHeight="1" x14ac:dyDescent="0.25">
      <c r="D485" s="1"/>
      <c r="E485" s="1"/>
      <c r="F485" s="1"/>
      <c r="G485" s="1"/>
      <c r="H485" s="1"/>
      <c r="I485" s="1"/>
    </row>
    <row r="486" spans="4:9" ht="15.75" customHeight="1" x14ac:dyDescent="0.25">
      <c r="D486" s="1"/>
      <c r="E486" s="1"/>
      <c r="F486" s="1"/>
      <c r="G486" s="1"/>
      <c r="H486" s="1"/>
      <c r="I486" s="1"/>
    </row>
    <row r="487" spans="4:9" ht="15.75" customHeight="1" x14ac:dyDescent="0.25">
      <c r="D487" s="1"/>
      <c r="E487" s="1"/>
      <c r="F487" s="1"/>
      <c r="G487" s="1"/>
      <c r="H487" s="1"/>
      <c r="I487" s="1"/>
    </row>
    <row r="488" spans="4:9" ht="15.75" customHeight="1" x14ac:dyDescent="0.25">
      <c r="D488" s="1"/>
      <c r="E488" s="1"/>
      <c r="F488" s="1"/>
      <c r="G488" s="1"/>
      <c r="H488" s="1"/>
      <c r="I488" s="1"/>
    </row>
    <row r="489" spans="4:9" ht="15.75" customHeight="1" x14ac:dyDescent="0.25">
      <c r="D489" s="1"/>
      <c r="E489" s="1"/>
      <c r="F489" s="1"/>
      <c r="G489" s="1"/>
      <c r="H489" s="1"/>
      <c r="I489" s="1"/>
    </row>
    <row r="490" spans="4:9" ht="15.75" customHeight="1" x14ac:dyDescent="0.25">
      <c r="D490" s="1"/>
      <c r="E490" s="1"/>
      <c r="F490" s="1"/>
      <c r="G490" s="1"/>
      <c r="H490" s="1"/>
      <c r="I490" s="1"/>
    </row>
    <row r="491" spans="4:9" ht="15.75" customHeight="1" x14ac:dyDescent="0.25">
      <c r="D491" s="1"/>
      <c r="E491" s="1"/>
      <c r="F491" s="1"/>
      <c r="G491" s="1"/>
      <c r="H491" s="1"/>
      <c r="I491" s="1"/>
    </row>
    <row r="492" spans="4:9" ht="15.75" customHeight="1" x14ac:dyDescent="0.25">
      <c r="D492" s="1"/>
      <c r="E492" s="1"/>
      <c r="F492" s="1"/>
      <c r="G492" s="1"/>
      <c r="H492" s="1"/>
      <c r="I492" s="1"/>
    </row>
    <row r="493" spans="4:9" ht="15.75" customHeight="1" x14ac:dyDescent="0.25">
      <c r="D493" s="1"/>
      <c r="E493" s="1"/>
      <c r="F493" s="1"/>
      <c r="G493" s="1"/>
      <c r="H493" s="1"/>
      <c r="I493" s="1"/>
    </row>
    <row r="494" spans="4:9" ht="15.75" customHeight="1" x14ac:dyDescent="0.25">
      <c r="D494" s="1"/>
      <c r="E494" s="1"/>
      <c r="F494" s="1"/>
      <c r="G494" s="1"/>
      <c r="H494" s="1"/>
      <c r="I494" s="1"/>
    </row>
    <row r="495" spans="4:9" ht="15.75" customHeight="1" x14ac:dyDescent="0.25">
      <c r="D495" s="1"/>
      <c r="E495" s="1"/>
      <c r="F495" s="1"/>
      <c r="G495" s="1"/>
      <c r="H495" s="1"/>
      <c r="I495" s="1"/>
    </row>
    <row r="496" spans="4:9" ht="15.75" customHeight="1" x14ac:dyDescent="0.25">
      <c r="D496" s="1"/>
      <c r="E496" s="1"/>
      <c r="F496" s="1"/>
      <c r="G496" s="1"/>
      <c r="H496" s="1"/>
      <c r="I496" s="1"/>
    </row>
    <row r="497" spans="4:9" ht="15.75" customHeight="1" x14ac:dyDescent="0.25">
      <c r="D497" s="1"/>
      <c r="E497" s="1"/>
      <c r="F497" s="1"/>
      <c r="G497" s="1"/>
      <c r="H497" s="1"/>
      <c r="I497" s="1"/>
    </row>
    <row r="498" spans="4:9" ht="15.75" customHeight="1" x14ac:dyDescent="0.25">
      <c r="D498" s="1"/>
      <c r="E498" s="1"/>
      <c r="F498" s="1"/>
      <c r="G498" s="1"/>
      <c r="H498" s="1"/>
      <c r="I498" s="1"/>
    </row>
    <row r="499" spans="4:9" ht="15.75" customHeight="1" x14ac:dyDescent="0.25">
      <c r="D499" s="1"/>
      <c r="E499" s="1"/>
      <c r="F499" s="1"/>
      <c r="G499" s="1"/>
      <c r="H499" s="1"/>
      <c r="I499" s="1"/>
    </row>
    <row r="500" spans="4:9" ht="15.75" customHeight="1" x14ac:dyDescent="0.25">
      <c r="D500" s="1"/>
      <c r="E500" s="1"/>
      <c r="F500" s="1"/>
      <c r="G500" s="1"/>
      <c r="H500" s="1"/>
      <c r="I500" s="1"/>
    </row>
    <row r="501" spans="4:9" ht="15.75" customHeight="1" x14ac:dyDescent="0.25">
      <c r="D501" s="1"/>
      <c r="E501" s="1"/>
      <c r="F501" s="1"/>
      <c r="G501" s="1"/>
      <c r="H501" s="1"/>
      <c r="I501" s="1"/>
    </row>
    <row r="502" spans="4:9" ht="15.75" customHeight="1" x14ac:dyDescent="0.25">
      <c r="D502" s="1"/>
      <c r="E502" s="1"/>
      <c r="F502" s="1"/>
      <c r="G502" s="1"/>
      <c r="H502" s="1"/>
      <c r="I502" s="1"/>
    </row>
    <row r="503" spans="4:9" ht="15.75" customHeight="1" x14ac:dyDescent="0.25">
      <c r="D503" s="1"/>
      <c r="E503" s="1"/>
      <c r="F503" s="1"/>
      <c r="G503" s="1"/>
      <c r="H503" s="1"/>
      <c r="I503" s="1"/>
    </row>
    <row r="504" spans="4:9" ht="15.75" customHeight="1" x14ac:dyDescent="0.25">
      <c r="D504" s="1"/>
      <c r="E504" s="1"/>
      <c r="F504" s="1"/>
      <c r="G504" s="1"/>
      <c r="H504" s="1"/>
      <c r="I504" s="1"/>
    </row>
    <row r="505" spans="4:9" ht="15.75" customHeight="1" x14ac:dyDescent="0.25">
      <c r="D505" s="1"/>
      <c r="E505" s="1"/>
      <c r="F505" s="1"/>
      <c r="G505" s="1"/>
      <c r="H505" s="1"/>
      <c r="I505" s="1"/>
    </row>
    <row r="506" spans="4:9" ht="15.75" customHeight="1" x14ac:dyDescent="0.25">
      <c r="D506" s="1"/>
      <c r="E506" s="1"/>
      <c r="F506" s="1"/>
      <c r="G506" s="1"/>
      <c r="H506" s="1"/>
      <c r="I506" s="1"/>
    </row>
    <row r="507" spans="4:9" ht="15.75" customHeight="1" x14ac:dyDescent="0.25">
      <c r="D507" s="1"/>
      <c r="E507" s="1"/>
      <c r="F507" s="1"/>
      <c r="G507" s="1"/>
      <c r="H507" s="1"/>
      <c r="I507" s="1"/>
    </row>
    <row r="508" spans="4:9" ht="15.75" customHeight="1" x14ac:dyDescent="0.25">
      <c r="D508" s="1"/>
      <c r="E508" s="1"/>
      <c r="F508" s="1"/>
      <c r="G508" s="1"/>
      <c r="H508" s="1"/>
      <c r="I508" s="1"/>
    </row>
    <row r="509" spans="4:9" ht="15.75" customHeight="1" x14ac:dyDescent="0.25">
      <c r="D509" s="1"/>
      <c r="E509" s="1"/>
      <c r="F509" s="1"/>
      <c r="G509" s="1"/>
      <c r="H509" s="1"/>
      <c r="I509" s="1"/>
    </row>
    <row r="510" spans="4:9" ht="15.75" customHeight="1" x14ac:dyDescent="0.25">
      <c r="D510" s="1"/>
      <c r="E510" s="1"/>
      <c r="F510" s="1"/>
      <c r="G510" s="1"/>
      <c r="H510" s="1"/>
      <c r="I510" s="1"/>
    </row>
    <row r="511" spans="4:9" ht="15.75" customHeight="1" x14ac:dyDescent="0.25">
      <c r="D511" s="1"/>
      <c r="E511" s="1"/>
      <c r="F511" s="1"/>
      <c r="G511" s="1"/>
      <c r="H511" s="1"/>
      <c r="I511" s="1"/>
    </row>
    <row r="512" spans="4:9" ht="15.75" customHeight="1" x14ac:dyDescent="0.25">
      <c r="D512" s="1"/>
      <c r="E512" s="1"/>
      <c r="F512" s="1"/>
      <c r="G512" s="1"/>
      <c r="H512" s="1"/>
      <c r="I512" s="1"/>
    </row>
    <row r="513" spans="4:9" ht="15.75" customHeight="1" x14ac:dyDescent="0.25">
      <c r="D513" s="1"/>
      <c r="E513" s="1"/>
      <c r="F513" s="1"/>
      <c r="G513" s="1"/>
      <c r="H513" s="1"/>
      <c r="I513" s="1"/>
    </row>
    <row r="514" spans="4:9" ht="15.75" customHeight="1" x14ac:dyDescent="0.25">
      <c r="D514" s="1"/>
      <c r="E514" s="1"/>
      <c r="F514" s="1"/>
      <c r="G514" s="1"/>
      <c r="H514" s="1"/>
      <c r="I514" s="1"/>
    </row>
    <row r="515" spans="4:9" ht="15.75" customHeight="1" x14ac:dyDescent="0.25">
      <c r="D515" s="1"/>
      <c r="E515" s="1"/>
      <c r="F515" s="1"/>
      <c r="G515" s="1"/>
      <c r="H515" s="1"/>
      <c r="I515" s="1"/>
    </row>
    <row r="516" spans="4:9" ht="15.75" customHeight="1" x14ac:dyDescent="0.25">
      <c r="D516" s="1"/>
      <c r="E516" s="1"/>
      <c r="F516" s="1"/>
      <c r="G516" s="1"/>
      <c r="H516" s="1"/>
      <c r="I516" s="1"/>
    </row>
    <row r="517" spans="4:9" ht="15.75" customHeight="1" x14ac:dyDescent="0.25">
      <c r="D517" s="1"/>
      <c r="E517" s="1"/>
      <c r="F517" s="1"/>
      <c r="G517" s="1"/>
      <c r="H517" s="1"/>
      <c r="I517" s="1"/>
    </row>
    <row r="518" spans="4:9" ht="15.75" customHeight="1" x14ac:dyDescent="0.25">
      <c r="D518" s="1"/>
      <c r="E518" s="1"/>
      <c r="F518" s="1"/>
      <c r="G518" s="1"/>
      <c r="H518" s="1"/>
      <c r="I518" s="1"/>
    </row>
    <row r="519" spans="4:9" ht="15.75" customHeight="1" x14ac:dyDescent="0.25">
      <c r="D519" s="1"/>
      <c r="E519" s="1"/>
      <c r="F519" s="1"/>
      <c r="G519" s="1"/>
      <c r="H519" s="1"/>
      <c r="I519" s="1"/>
    </row>
    <row r="520" spans="4:9" ht="15.75" customHeight="1" x14ac:dyDescent="0.25">
      <c r="D520" s="1"/>
      <c r="E520" s="1"/>
      <c r="F520" s="1"/>
      <c r="G520" s="1"/>
      <c r="H520" s="1"/>
      <c r="I520" s="1"/>
    </row>
    <row r="521" spans="4:9" ht="15.75" customHeight="1" x14ac:dyDescent="0.25">
      <c r="D521" s="1"/>
      <c r="E521" s="1"/>
      <c r="F521" s="1"/>
      <c r="G521" s="1"/>
      <c r="H521" s="1"/>
      <c r="I521" s="1"/>
    </row>
    <row r="522" spans="4:9" ht="15.75" customHeight="1" x14ac:dyDescent="0.25">
      <c r="D522" s="1"/>
      <c r="E522" s="1"/>
      <c r="F522" s="1"/>
      <c r="G522" s="1"/>
      <c r="H522" s="1"/>
      <c r="I522" s="1"/>
    </row>
    <row r="523" spans="4:9" ht="15.75" customHeight="1" x14ac:dyDescent="0.25">
      <c r="D523" s="1"/>
      <c r="E523" s="1"/>
      <c r="F523" s="1"/>
      <c r="G523" s="1"/>
      <c r="H523" s="1"/>
      <c r="I523" s="1"/>
    </row>
    <row r="524" spans="4:9" ht="15.75" customHeight="1" x14ac:dyDescent="0.25">
      <c r="D524" s="1"/>
      <c r="E524" s="1"/>
      <c r="F524" s="1"/>
      <c r="G524" s="1"/>
      <c r="H524" s="1"/>
      <c r="I524" s="1"/>
    </row>
    <row r="525" spans="4:9" ht="15.75" customHeight="1" x14ac:dyDescent="0.25">
      <c r="D525" s="1"/>
      <c r="E525" s="1"/>
      <c r="F525" s="1"/>
      <c r="G525" s="1"/>
      <c r="H525" s="1"/>
      <c r="I525" s="1"/>
    </row>
    <row r="526" spans="4:9" ht="15.75" customHeight="1" x14ac:dyDescent="0.25">
      <c r="D526" s="1"/>
      <c r="E526" s="1"/>
      <c r="F526" s="1"/>
      <c r="G526" s="1"/>
      <c r="H526" s="1"/>
      <c r="I526" s="1"/>
    </row>
    <row r="527" spans="4:9" ht="15.75" customHeight="1" x14ac:dyDescent="0.25">
      <c r="D527" s="1"/>
      <c r="E527" s="1"/>
      <c r="F527" s="1"/>
      <c r="G527" s="1"/>
      <c r="H527" s="1"/>
      <c r="I527" s="1"/>
    </row>
    <row r="528" spans="4:9" ht="15.75" customHeight="1" x14ac:dyDescent="0.25">
      <c r="D528" s="1"/>
      <c r="E528" s="1"/>
      <c r="F528" s="1"/>
      <c r="G528" s="1"/>
      <c r="H528" s="1"/>
      <c r="I528" s="1"/>
    </row>
    <row r="529" spans="4:9" ht="15.75" customHeight="1" x14ac:dyDescent="0.25">
      <c r="D529" s="1"/>
      <c r="E529" s="1"/>
      <c r="F529" s="1"/>
      <c r="G529" s="1"/>
      <c r="H529" s="1"/>
      <c r="I529" s="1"/>
    </row>
    <row r="530" spans="4:9" ht="15.75" customHeight="1" x14ac:dyDescent="0.25">
      <c r="D530" s="1"/>
      <c r="E530" s="1"/>
      <c r="F530" s="1"/>
      <c r="G530" s="1"/>
      <c r="H530" s="1"/>
      <c r="I530" s="1"/>
    </row>
    <row r="531" spans="4:9" ht="15.75" customHeight="1" x14ac:dyDescent="0.25">
      <c r="D531" s="1"/>
      <c r="E531" s="1"/>
      <c r="F531" s="1"/>
      <c r="G531" s="1"/>
      <c r="H531" s="1"/>
      <c r="I531" s="1"/>
    </row>
    <row r="532" spans="4:9" ht="15.75" customHeight="1" x14ac:dyDescent="0.25">
      <c r="D532" s="1"/>
      <c r="E532" s="1"/>
      <c r="F532" s="1"/>
      <c r="G532" s="1"/>
      <c r="H532" s="1"/>
      <c r="I532" s="1"/>
    </row>
    <row r="533" spans="4:9" ht="15.75" customHeight="1" x14ac:dyDescent="0.25">
      <c r="D533" s="1"/>
      <c r="E533" s="1"/>
      <c r="F533" s="1"/>
      <c r="G533" s="1"/>
      <c r="H533" s="1"/>
      <c r="I533" s="1"/>
    </row>
    <row r="534" spans="4:9" ht="15.75" customHeight="1" x14ac:dyDescent="0.25">
      <c r="D534" s="1"/>
      <c r="E534" s="1"/>
      <c r="F534" s="1"/>
      <c r="G534" s="1"/>
      <c r="H534" s="1"/>
      <c r="I534" s="1"/>
    </row>
    <row r="535" spans="4:9" ht="15.75" customHeight="1" x14ac:dyDescent="0.25">
      <c r="D535" s="1"/>
      <c r="E535" s="1"/>
      <c r="F535" s="1"/>
      <c r="G535" s="1"/>
      <c r="H535" s="1"/>
      <c r="I535" s="1"/>
    </row>
    <row r="536" spans="4:9" ht="15.75" customHeight="1" x14ac:dyDescent="0.25">
      <c r="D536" s="1"/>
      <c r="E536" s="1"/>
      <c r="F536" s="1"/>
      <c r="G536" s="1"/>
      <c r="H536" s="1"/>
      <c r="I536" s="1"/>
    </row>
    <row r="537" spans="4:9" ht="15.75" customHeight="1" x14ac:dyDescent="0.25">
      <c r="D537" s="1"/>
      <c r="E537" s="1"/>
      <c r="F537" s="1"/>
      <c r="G537" s="1"/>
      <c r="H537" s="1"/>
      <c r="I537" s="1"/>
    </row>
    <row r="538" spans="4:9" ht="15.75" customHeight="1" x14ac:dyDescent="0.25">
      <c r="D538" s="1"/>
      <c r="E538" s="1"/>
      <c r="F538" s="1"/>
      <c r="G538" s="1"/>
      <c r="H538" s="1"/>
      <c r="I538" s="1"/>
    </row>
    <row r="539" spans="4:9" ht="15.75" customHeight="1" x14ac:dyDescent="0.25">
      <c r="D539" s="1"/>
      <c r="E539" s="1"/>
      <c r="F539" s="1"/>
      <c r="G539" s="1"/>
      <c r="H539" s="1"/>
      <c r="I539" s="1"/>
    </row>
    <row r="540" spans="4:9" ht="15.75" customHeight="1" x14ac:dyDescent="0.25">
      <c r="D540" s="1"/>
      <c r="E540" s="1"/>
      <c r="F540" s="1"/>
      <c r="G540" s="1"/>
      <c r="H540" s="1"/>
      <c r="I540" s="1"/>
    </row>
    <row r="541" spans="4:9" ht="15.75" customHeight="1" x14ac:dyDescent="0.25">
      <c r="D541" s="1"/>
      <c r="E541" s="1"/>
      <c r="F541" s="1"/>
      <c r="G541" s="1"/>
      <c r="H541" s="1"/>
      <c r="I541" s="1"/>
    </row>
    <row r="542" spans="4:9" ht="15.75" customHeight="1" x14ac:dyDescent="0.25">
      <c r="D542" s="1"/>
      <c r="E542" s="1"/>
      <c r="F542" s="1"/>
      <c r="G542" s="1"/>
      <c r="H542" s="1"/>
      <c r="I542" s="1"/>
    </row>
    <row r="543" spans="4:9" ht="15.75" customHeight="1" x14ac:dyDescent="0.25">
      <c r="D543" s="1"/>
      <c r="E543" s="1"/>
      <c r="F543" s="1"/>
      <c r="G543" s="1"/>
      <c r="H543" s="1"/>
      <c r="I543" s="1"/>
    </row>
    <row r="544" spans="4:9" ht="15.75" customHeight="1" x14ac:dyDescent="0.25">
      <c r="D544" s="1"/>
      <c r="E544" s="1"/>
      <c r="F544" s="1"/>
      <c r="G544" s="1"/>
      <c r="H544" s="1"/>
      <c r="I544" s="1"/>
    </row>
    <row r="545" spans="4:9" ht="15.75" customHeight="1" x14ac:dyDescent="0.25">
      <c r="D545" s="1"/>
      <c r="E545" s="1"/>
      <c r="F545" s="1"/>
      <c r="G545" s="1"/>
      <c r="H545" s="1"/>
      <c r="I545" s="1"/>
    </row>
    <row r="546" spans="4:9" ht="15.75" customHeight="1" x14ac:dyDescent="0.25">
      <c r="D546" s="1"/>
      <c r="E546" s="1"/>
      <c r="F546" s="1"/>
      <c r="G546" s="1"/>
      <c r="H546" s="1"/>
      <c r="I546" s="1"/>
    </row>
    <row r="547" spans="4:9" ht="15.75" customHeight="1" x14ac:dyDescent="0.25">
      <c r="D547" s="1"/>
      <c r="E547" s="1"/>
      <c r="F547" s="1"/>
      <c r="G547" s="1"/>
      <c r="H547" s="1"/>
      <c r="I547" s="1"/>
    </row>
    <row r="548" spans="4:9" ht="15.75" customHeight="1" x14ac:dyDescent="0.25">
      <c r="D548" s="1"/>
      <c r="E548" s="1"/>
      <c r="F548" s="1"/>
      <c r="G548" s="1"/>
      <c r="H548" s="1"/>
      <c r="I548" s="1"/>
    </row>
    <row r="549" spans="4:9" ht="15.75" customHeight="1" x14ac:dyDescent="0.25">
      <c r="D549" s="1"/>
      <c r="E549" s="1"/>
      <c r="F549" s="1"/>
      <c r="G549" s="1"/>
      <c r="H549" s="1"/>
      <c r="I549" s="1"/>
    </row>
    <row r="550" spans="4:9" ht="15.75" customHeight="1" x14ac:dyDescent="0.25">
      <c r="D550" s="1"/>
      <c r="E550" s="1"/>
      <c r="F550" s="1"/>
      <c r="G550" s="1"/>
      <c r="H550" s="1"/>
      <c r="I550" s="1"/>
    </row>
    <row r="551" spans="4:9" ht="15.75" customHeight="1" x14ac:dyDescent="0.25">
      <c r="D551" s="1"/>
      <c r="E551" s="1"/>
      <c r="F551" s="1"/>
      <c r="G551" s="1"/>
      <c r="H551" s="1"/>
      <c r="I551" s="1"/>
    </row>
    <row r="552" spans="4:9" ht="15.75" customHeight="1" x14ac:dyDescent="0.25">
      <c r="D552" s="1"/>
      <c r="E552" s="1"/>
      <c r="F552" s="1"/>
      <c r="G552" s="1"/>
      <c r="H552" s="1"/>
      <c r="I552" s="1"/>
    </row>
    <row r="553" spans="4:9" ht="15.75" customHeight="1" x14ac:dyDescent="0.25">
      <c r="D553" s="1"/>
      <c r="E553" s="1"/>
      <c r="F553" s="1"/>
      <c r="G553" s="1"/>
      <c r="H553" s="1"/>
      <c r="I553" s="1"/>
    </row>
    <row r="554" spans="4:9" ht="15.75" customHeight="1" x14ac:dyDescent="0.25">
      <c r="D554" s="1"/>
      <c r="E554" s="1"/>
      <c r="F554" s="1"/>
      <c r="G554" s="1"/>
      <c r="H554" s="1"/>
      <c r="I554" s="1"/>
    </row>
    <row r="555" spans="4:9" ht="15.75" customHeight="1" x14ac:dyDescent="0.25">
      <c r="D555" s="1"/>
      <c r="E555" s="1"/>
      <c r="F555" s="1"/>
      <c r="G555" s="1"/>
      <c r="H555" s="1"/>
      <c r="I555" s="1"/>
    </row>
    <row r="556" spans="4:9" ht="15.75" customHeight="1" x14ac:dyDescent="0.25">
      <c r="D556" s="1"/>
      <c r="E556" s="1"/>
      <c r="F556" s="1"/>
      <c r="G556" s="1"/>
      <c r="H556" s="1"/>
      <c r="I556" s="1"/>
    </row>
    <row r="557" spans="4:9" ht="15.75" customHeight="1" x14ac:dyDescent="0.25">
      <c r="D557" s="1"/>
      <c r="E557" s="1"/>
      <c r="F557" s="1"/>
      <c r="G557" s="1"/>
      <c r="H557" s="1"/>
      <c r="I557" s="1"/>
    </row>
    <row r="558" spans="4:9" ht="15.75" customHeight="1" x14ac:dyDescent="0.25">
      <c r="D558" s="1"/>
      <c r="E558" s="1"/>
      <c r="F558" s="1"/>
      <c r="G558" s="1"/>
      <c r="H558" s="1"/>
      <c r="I558" s="1"/>
    </row>
    <row r="559" spans="4:9" ht="15.75" customHeight="1" x14ac:dyDescent="0.25">
      <c r="D559" s="1"/>
      <c r="E559" s="1"/>
      <c r="F559" s="1"/>
      <c r="G559" s="1"/>
      <c r="H559" s="1"/>
      <c r="I559" s="1"/>
    </row>
    <row r="560" spans="4:9" ht="15.75" customHeight="1" x14ac:dyDescent="0.25">
      <c r="D560" s="1"/>
      <c r="E560" s="1"/>
      <c r="F560" s="1"/>
      <c r="G560" s="1"/>
      <c r="H560" s="1"/>
      <c r="I560" s="1"/>
    </row>
    <row r="561" spans="4:9" ht="15.75" customHeight="1" x14ac:dyDescent="0.25">
      <c r="D561" s="1"/>
      <c r="E561" s="1"/>
      <c r="F561" s="1"/>
      <c r="G561" s="1"/>
      <c r="H561" s="1"/>
      <c r="I561" s="1"/>
    </row>
    <row r="562" spans="4:9" ht="15.75" customHeight="1" x14ac:dyDescent="0.25">
      <c r="D562" s="1"/>
      <c r="E562" s="1"/>
      <c r="F562" s="1"/>
      <c r="G562" s="1"/>
      <c r="H562" s="1"/>
      <c r="I562" s="1"/>
    </row>
    <row r="563" spans="4:9" ht="15.75" customHeight="1" x14ac:dyDescent="0.25">
      <c r="D563" s="1"/>
      <c r="E563" s="1"/>
      <c r="F563" s="1"/>
      <c r="G563" s="1"/>
      <c r="H563" s="1"/>
      <c r="I563" s="1"/>
    </row>
    <row r="564" spans="4:9" ht="15.75" customHeight="1" x14ac:dyDescent="0.25">
      <c r="D564" s="1"/>
      <c r="E564" s="1"/>
      <c r="F564" s="1"/>
      <c r="G564" s="1"/>
      <c r="H564" s="1"/>
      <c r="I564" s="1"/>
    </row>
    <row r="565" spans="4:9" ht="15.75" customHeight="1" x14ac:dyDescent="0.25">
      <c r="D565" s="1"/>
      <c r="E565" s="1"/>
      <c r="F565" s="1"/>
      <c r="G565" s="1"/>
      <c r="H565" s="1"/>
      <c r="I565" s="1"/>
    </row>
    <row r="566" spans="4:9" ht="15.75" customHeight="1" x14ac:dyDescent="0.25">
      <c r="D566" s="1"/>
      <c r="E566" s="1"/>
      <c r="F566" s="1"/>
      <c r="G566" s="1"/>
      <c r="H566" s="1"/>
      <c r="I566" s="1"/>
    </row>
    <row r="567" spans="4:9" ht="15.75" customHeight="1" x14ac:dyDescent="0.25">
      <c r="D567" s="1"/>
      <c r="E567" s="1"/>
      <c r="F567" s="1"/>
      <c r="G567" s="1"/>
      <c r="H567" s="1"/>
      <c r="I567" s="1"/>
    </row>
    <row r="568" spans="4:9" ht="15.75" customHeight="1" x14ac:dyDescent="0.25">
      <c r="D568" s="1"/>
      <c r="E568" s="1"/>
      <c r="F568" s="1"/>
      <c r="G568" s="1"/>
      <c r="H568" s="1"/>
      <c r="I568" s="1"/>
    </row>
    <row r="569" spans="4:9" ht="15.75" customHeight="1" x14ac:dyDescent="0.25">
      <c r="D569" s="1"/>
      <c r="E569" s="1"/>
      <c r="F569" s="1"/>
      <c r="G569" s="1"/>
      <c r="H569" s="1"/>
      <c r="I569" s="1"/>
    </row>
    <row r="570" spans="4:9" ht="15.75" customHeight="1" x14ac:dyDescent="0.25">
      <c r="D570" s="1"/>
      <c r="E570" s="1"/>
      <c r="F570" s="1"/>
      <c r="G570" s="1"/>
      <c r="H570" s="1"/>
      <c r="I570" s="1"/>
    </row>
    <row r="571" spans="4:9" ht="15.75" customHeight="1" x14ac:dyDescent="0.25">
      <c r="D571" s="1"/>
      <c r="E571" s="1"/>
      <c r="F571" s="1"/>
      <c r="G571" s="1"/>
      <c r="H571" s="1"/>
      <c r="I571" s="1"/>
    </row>
    <row r="572" spans="4:9" ht="15.75" customHeight="1" x14ac:dyDescent="0.25">
      <c r="D572" s="1"/>
      <c r="E572" s="1"/>
      <c r="F572" s="1"/>
      <c r="G572" s="1"/>
      <c r="H572" s="1"/>
      <c r="I572" s="1"/>
    </row>
    <row r="573" spans="4:9" ht="15.75" customHeight="1" x14ac:dyDescent="0.25">
      <c r="D573" s="1"/>
      <c r="E573" s="1"/>
      <c r="F573" s="1"/>
      <c r="G573" s="1"/>
      <c r="H573" s="1"/>
      <c r="I573" s="1"/>
    </row>
    <row r="574" spans="4:9" ht="15.75" customHeight="1" x14ac:dyDescent="0.25">
      <c r="D574" s="1"/>
      <c r="E574" s="1"/>
      <c r="F574" s="1"/>
      <c r="G574" s="1"/>
      <c r="H574" s="1"/>
      <c r="I574" s="1"/>
    </row>
    <row r="575" spans="4:9" ht="15.75" customHeight="1" x14ac:dyDescent="0.25">
      <c r="D575" s="1"/>
      <c r="E575" s="1"/>
      <c r="F575" s="1"/>
      <c r="G575" s="1"/>
      <c r="H575" s="1"/>
      <c r="I575" s="1"/>
    </row>
    <row r="576" spans="4:9" ht="15.75" customHeight="1" x14ac:dyDescent="0.25">
      <c r="D576" s="1"/>
      <c r="E576" s="1"/>
      <c r="F576" s="1"/>
      <c r="G576" s="1"/>
      <c r="H576" s="1"/>
      <c r="I576" s="1"/>
    </row>
    <row r="577" spans="4:9" ht="15.75" customHeight="1" x14ac:dyDescent="0.25">
      <c r="D577" s="1"/>
      <c r="E577" s="1"/>
      <c r="F577" s="1"/>
      <c r="G577" s="1"/>
      <c r="H577" s="1"/>
      <c r="I577" s="1"/>
    </row>
    <row r="578" spans="4:9" ht="15.75" customHeight="1" x14ac:dyDescent="0.25">
      <c r="D578" s="1"/>
      <c r="E578" s="1"/>
      <c r="F578" s="1"/>
      <c r="G578" s="1"/>
      <c r="H578" s="1"/>
      <c r="I578" s="1"/>
    </row>
    <row r="579" spans="4:9" ht="15.75" customHeight="1" x14ac:dyDescent="0.25">
      <c r="D579" s="1"/>
      <c r="E579" s="1"/>
      <c r="F579" s="1"/>
      <c r="G579" s="1"/>
      <c r="H579" s="1"/>
      <c r="I579" s="1"/>
    </row>
    <row r="580" spans="4:9" ht="15.75" customHeight="1" x14ac:dyDescent="0.25">
      <c r="D580" s="1"/>
      <c r="E580" s="1"/>
      <c r="F580" s="1"/>
      <c r="G580" s="1"/>
      <c r="H580" s="1"/>
      <c r="I580" s="1"/>
    </row>
    <row r="581" spans="4:9" ht="15.75" customHeight="1" x14ac:dyDescent="0.25">
      <c r="D581" s="1"/>
      <c r="E581" s="1"/>
      <c r="F581" s="1"/>
      <c r="G581" s="1"/>
      <c r="H581" s="1"/>
      <c r="I581" s="1"/>
    </row>
    <row r="582" spans="4:9" ht="15.75" customHeight="1" x14ac:dyDescent="0.25">
      <c r="D582" s="1"/>
      <c r="E582" s="1"/>
      <c r="F582" s="1"/>
      <c r="G582" s="1"/>
      <c r="H582" s="1"/>
      <c r="I582" s="1"/>
    </row>
    <row r="583" spans="4:9" ht="15.75" customHeight="1" x14ac:dyDescent="0.25">
      <c r="D583" s="1"/>
      <c r="E583" s="1"/>
      <c r="F583" s="1"/>
      <c r="G583" s="1"/>
      <c r="H583" s="1"/>
      <c r="I583" s="1"/>
    </row>
    <row r="584" spans="4:9" ht="15.75" customHeight="1" x14ac:dyDescent="0.25">
      <c r="D584" s="1"/>
      <c r="E584" s="1"/>
      <c r="F584" s="1"/>
      <c r="G584" s="1"/>
      <c r="H584" s="1"/>
      <c r="I584" s="1"/>
    </row>
    <row r="585" spans="4:9" ht="15.75" customHeight="1" x14ac:dyDescent="0.25">
      <c r="D585" s="1"/>
      <c r="E585" s="1"/>
      <c r="F585" s="1"/>
      <c r="G585" s="1"/>
      <c r="H585" s="1"/>
      <c r="I585" s="1"/>
    </row>
    <row r="586" spans="4:9" ht="15.75" customHeight="1" x14ac:dyDescent="0.25">
      <c r="D586" s="1"/>
      <c r="E586" s="1"/>
      <c r="F586" s="1"/>
      <c r="G586" s="1"/>
      <c r="H586" s="1"/>
      <c r="I586" s="1"/>
    </row>
    <row r="587" spans="4:9" ht="15.75" customHeight="1" x14ac:dyDescent="0.25">
      <c r="D587" s="1"/>
      <c r="E587" s="1"/>
      <c r="F587" s="1"/>
      <c r="G587" s="1"/>
      <c r="H587" s="1"/>
      <c r="I587" s="1"/>
    </row>
    <row r="588" spans="4:9" ht="15.75" customHeight="1" x14ac:dyDescent="0.25">
      <c r="D588" s="1"/>
      <c r="E588" s="1"/>
      <c r="F588" s="1"/>
      <c r="G588" s="1"/>
      <c r="H588" s="1"/>
      <c r="I588" s="1"/>
    </row>
    <row r="589" spans="4:9" ht="15.75" customHeight="1" x14ac:dyDescent="0.25">
      <c r="D589" s="1"/>
      <c r="E589" s="1"/>
      <c r="F589" s="1"/>
      <c r="G589" s="1"/>
      <c r="H589" s="1"/>
      <c r="I589" s="1"/>
    </row>
    <row r="590" spans="4:9" ht="15.75" customHeight="1" x14ac:dyDescent="0.25">
      <c r="D590" s="1"/>
      <c r="E590" s="1"/>
      <c r="F590" s="1"/>
      <c r="G590" s="1"/>
      <c r="H590" s="1"/>
      <c r="I590" s="1"/>
    </row>
    <row r="591" spans="4:9" ht="15.75" customHeight="1" x14ac:dyDescent="0.25">
      <c r="D591" s="1"/>
      <c r="E591" s="1"/>
      <c r="F591" s="1"/>
      <c r="G591" s="1"/>
      <c r="H591" s="1"/>
      <c r="I591" s="1"/>
    </row>
    <row r="592" spans="4:9" ht="15.75" customHeight="1" x14ac:dyDescent="0.25">
      <c r="D592" s="1"/>
      <c r="E592" s="1"/>
      <c r="F592" s="1"/>
      <c r="G592" s="1"/>
      <c r="H592" s="1"/>
      <c r="I592" s="1"/>
    </row>
    <row r="593" spans="4:9" ht="15.75" customHeight="1" x14ac:dyDescent="0.25">
      <c r="D593" s="1"/>
      <c r="E593" s="1"/>
      <c r="F593" s="1"/>
      <c r="G593" s="1"/>
      <c r="H593" s="1"/>
      <c r="I593" s="1"/>
    </row>
    <row r="594" spans="4:9" ht="15.75" customHeight="1" x14ac:dyDescent="0.25">
      <c r="D594" s="1"/>
      <c r="E594" s="1"/>
      <c r="F594" s="1"/>
      <c r="G594" s="1"/>
      <c r="H594" s="1"/>
      <c r="I594" s="1"/>
    </row>
    <row r="595" spans="4:9" ht="15.75" customHeight="1" x14ac:dyDescent="0.25">
      <c r="D595" s="1"/>
      <c r="E595" s="1"/>
      <c r="F595" s="1"/>
      <c r="G595" s="1"/>
      <c r="H595" s="1"/>
      <c r="I595" s="1"/>
    </row>
    <row r="596" spans="4:9" ht="15.75" customHeight="1" x14ac:dyDescent="0.25">
      <c r="D596" s="1"/>
      <c r="E596" s="1"/>
      <c r="F596" s="1"/>
      <c r="G596" s="1"/>
      <c r="H596" s="1"/>
      <c r="I596" s="1"/>
    </row>
    <row r="597" spans="4:9" ht="15.75" customHeight="1" x14ac:dyDescent="0.25">
      <c r="D597" s="1"/>
      <c r="E597" s="1"/>
      <c r="F597" s="1"/>
      <c r="G597" s="1"/>
      <c r="H597" s="1"/>
      <c r="I597" s="1"/>
    </row>
    <row r="598" spans="4:9" ht="15.75" customHeight="1" x14ac:dyDescent="0.25">
      <c r="D598" s="1"/>
      <c r="E598" s="1"/>
      <c r="F598" s="1"/>
      <c r="G598" s="1"/>
      <c r="H598" s="1"/>
      <c r="I598" s="1"/>
    </row>
    <row r="599" spans="4:9" ht="15.75" customHeight="1" x14ac:dyDescent="0.25">
      <c r="D599" s="1"/>
      <c r="E599" s="1"/>
      <c r="F599" s="1"/>
      <c r="G599" s="1"/>
      <c r="H599" s="1"/>
      <c r="I599" s="1"/>
    </row>
    <row r="600" spans="4:9" ht="15.75" customHeight="1" x14ac:dyDescent="0.25">
      <c r="D600" s="1"/>
      <c r="E600" s="1"/>
      <c r="F600" s="1"/>
      <c r="G600" s="1"/>
      <c r="H600" s="1"/>
      <c r="I600" s="1"/>
    </row>
    <row r="601" spans="4:9" ht="15.75" customHeight="1" x14ac:dyDescent="0.25">
      <c r="D601" s="1"/>
      <c r="E601" s="1"/>
      <c r="F601" s="1"/>
      <c r="G601" s="1"/>
      <c r="H601" s="1"/>
      <c r="I601" s="1"/>
    </row>
    <row r="602" spans="4:9" ht="15.75" customHeight="1" x14ac:dyDescent="0.25">
      <c r="D602" s="1"/>
      <c r="E602" s="1"/>
      <c r="F602" s="1"/>
      <c r="G602" s="1"/>
      <c r="H602" s="1"/>
      <c r="I602" s="1"/>
    </row>
    <row r="603" spans="4:9" ht="15.75" customHeight="1" x14ac:dyDescent="0.25">
      <c r="D603" s="1"/>
      <c r="E603" s="1"/>
      <c r="F603" s="1"/>
      <c r="G603" s="1"/>
      <c r="H603" s="1"/>
      <c r="I603" s="1"/>
    </row>
    <row r="604" spans="4:9" ht="15.75" customHeight="1" x14ac:dyDescent="0.25">
      <c r="D604" s="1"/>
      <c r="E604" s="1"/>
      <c r="F604" s="1"/>
      <c r="G604" s="1"/>
      <c r="H604" s="1"/>
      <c r="I604" s="1"/>
    </row>
    <row r="605" spans="4:9" ht="15.75" customHeight="1" x14ac:dyDescent="0.25">
      <c r="D605" s="1"/>
      <c r="E605" s="1"/>
      <c r="F605" s="1"/>
      <c r="G605" s="1"/>
      <c r="H605" s="1"/>
      <c r="I605" s="1"/>
    </row>
    <row r="606" spans="4:9" ht="15.75" customHeight="1" x14ac:dyDescent="0.25">
      <c r="D606" s="1"/>
      <c r="E606" s="1"/>
      <c r="F606" s="1"/>
      <c r="G606" s="1"/>
      <c r="H606" s="1"/>
      <c r="I606" s="1"/>
    </row>
    <row r="607" spans="4:9" ht="15.75" customHeight="1" x14ac:dyDescent="0.25">
      <c r="D607" s="1"/>
      <c r="E607" s="1"/>
      <c r="F607" s="1"/>
      <c r="G607" s="1"/>
      <c r="H607" s="1"/>
      <c r="I607" s="1"/>
    </row>
    <row r="608" spans="4:9" ht="15.75" customHeight="1" x14ac:dyDescent="0.25">
      <c r="D608" s="1"/>
      <c r="E608" s="1"/>
      <c r="F608" s="1"/>
      <c r="G608" s="1"/>
      <c r="H608" s="1"/>
      <c r="I608" s="1"/>
    </row>
    <row r="609" spans="4:9" ht="15.75" customHeight="1" x14ac:dyDescent="0.25">
      <c r="D609" s="1"/>
      <c r="E609" s="1"/>
      <c r="F609" s="1"/>
      <c r="G609" s="1"/>
      <c r="H609" s="1"/>
      <c r="I609" s="1"/>
    </row>
    <row r="610" spans="4:9" ht="15.75" customHeight="1" x14ac:dyDescent="0.25">
      <c r="D610" s="1"/>
      <c r="E610" s="1"/>
      <c r="F610" s="1"/>
      <c r="G610" s="1"/>
      <c r="H610" s="1"/>
      <c r="I610" s="1"/>
    </row>
    <row r="611" spans="4:9" ht="15.75" customHeight="1" x14ac:dyDescent="0.25">
      <c r="D611" s="1"/>
      <c r="E611" s="1"/>
      <c r="F611" s="1"/>
      <c r="G611" s="1"/>
      <c r="H611" s="1"/>
      <c r="I611" s="1"/>
    </row>
    <row r="612" spans="4:9" ht="15.75" customHeight="1" x14ac:dyDescent="0.25">
      <c r="D612" s="1"/>
      <c r="E612" s="1"/>
      <c r="F612" s="1"/>
      <c r="G612" s="1"/>
      <c r="H612" s="1"/>
      <c r="I612" s="1"/>
    </row>
    <row r="613" spans="4:9" ht="15.75" customHeight="1" x14ac:dyDescent="0.25">
      <c r="D613" s="1"/>
      <c r="E613" s="1"/>
      <c r="F613" s="1"/>
      <c r="G613" s="1"/>
      <c r="H613" s="1"/>
      <c r="I613" s="1"/>
    </row>
    <row r="614" spans="4:9" ht="15.75" customHeight="1" x14ac:dyDescent="0.25">
      <c r="D614" s="1"/>
      <c r="E614" s="1"/>
      <c r="F614" s="1"/>
      <c r="G614" s="1"/>
      <c r="H614" s="1"/>
      <c r="I614" s="1"/>
    </row>
    <row r="615" spans="4:9" ht="15.75" customHeight="1" x14ac:dyDescent="0.25">
      <c r="D615" s="1"/>
      <c r="E615" s="1"/>
      <c r="F615" s="1"/>
      <c r="G615" s="1"/>
      <c r="H615" s="1"/>
      <c r="I615" s="1"/>
    </row>
    <row r="616" spans="4:9" ht="15.75" customHeight="1" x14ac:dyDescent="0.25">
      <c r="D616" s="1"/>
      <c r="E616" s="1"/>
      <c r="F616" s="1"/>
      <c r="G616" s="1"/>
      <c r="H616" s="1"/>
      <c r="I616" s="1"/>
    </row>
    <row r="617" spans="4:9" ht="15.75" customHeight="1" x14ac:dyDescent="0.25">
      <c r="D617" s="1"/>
      <c r="E617" s="1"/>
      <c r="F617" s="1"/>
      <c r="G617" s="1"/>
      <c r="H617" s="1"/>
      <c r="I617" s="1"/>
    </row>
    <row r="618" spans="4:9" ht="15.75" customHeight="1" x14ac:dyDescent="0.25">
      <c r="D618" s="1"/>
      <c r="E618" s="1"/>
      <c r="F618" s="1"/>
      <c r="G618" s="1"/>
      <c r="H618" s="1"/>
      <c r="I618" s="1"/>
    </row>
    <row r="619" spans="4:9" ht="15.75" customHeight="1" x14ac:dyDescent="0.25">
      <c r="D619" s="1"/>
      <c r="E619" s="1"/>
      <c r="F619" s="1"/>
      <c r="G619" s="1"/>
      <c r="H619" s="1"/>
      <c r="I619" s="1"/>
    </row>
    <row r="620" spans="4:9" ht="15.75" customHeight="1" x14ac:dyDescent="0.25">
      <c r="D620" s="1"/>
      <c r="E620" s="1"/>
      <c r="F620" s="1"/>
      <c r="G620" s="1"/>
      <c r="H620" s="1"/>
      <c r="I620" s="1"/>
    </row>
    <row r="621" spans="4:9" ht="15.75" customHeight="1" x14ac:dyDescent="0.25">
      <c r="D621" s="1"/>
      <c r="E621" s="1"/>
      <c r="F621" s="1"/>
      <c r="G621" s="1"/>
      <c r="H621" s="1"/>
      <c r="I621" s="1"/>
    </row>
    <row r="622" spans="4:9" ht="15.75" customHeight="1" x14ac:dyDescent="0.25">
      <c r="D622" s="1"/>
      <c r="E622" s="1"/>
      <c r="F622" s="1"/>
      <c r="G622" s="1"/>
      <c r="H622" s="1"/>
      <c r="I622" s="1"/>
    </row>
    <row r="623" spans="4:9" ht="15.75" customHeight="1" x14ac:dyDescent="0.25">
      <c r="D623" s="1"/>
      <c r="E623" s="1"/>
      <c r="F623" s="1"/>
      <c r="G623" s="1"/>
      <c r="H623" s="1"/>
      <c r="I623" s="1"/>
    </row>
    <row r="624" spans="4:9" ht="15.75" customHeight="1" x14ac:dyDescent="0.25">
      <c r="D624" s="1"/>
      <c r="E624" s="1"/>
      <c r="F624" s="1"/>
      <c r="G624" s="1"/>
      <c r="H624" s="1"/>
      <c r="I624" s="1"/>
    </row>
    <row r="625" spans="4:9" ht="15.75" customHeight="1" x14ac:dyDescent="0.25">
      <c r="D625" s="1"/>
      <c r="E625" s="1"/>
      <c r="F625" s="1"/>
      <c r="G625" s="1"/>
      <c r="H625" s="1"/>
      <c r="I625" s="1"/>
    </row>
    <row r="626" spans="4:9" ht="15.75" customHeight="1" x14ac:dyDescent="0.25">
      <c r="D626" s="1"/>
      <c r="E626" s="1"/>
      <c r="F626" s="1"/>
      <c r="G626" s="1"/>
      <c r="H626" s="1"/>
      <c r="I626" s="1"/>
    </row>
    <row r="627" spans="4:9" ht="15.75" customHeight="1" x14ac:dyDescent="0.25">
      <c r="D627" s="1"/>
      <c r="E627" s="1"/>
      <c r="F627" s="1"/>
      <c r="G627" s="1"/>
      <c r="H627" s="1"/>
      <c r="I627" s="1"/>
    </row>
    <row r="628" spans="4:9" ht="15.75" customHeight="1" x14ac:dyDescent="0.25">
      <c r="D628" s="1"/>
      <c r="E628" s="1"/>
      <c r="F628" s="1"/>
      <c r="G628" s="1"/>
      <c r="H628" s="1"/>
      <c r="I628" s="1"/>
    </row>
    <row r="629" spans="4:9" ht="15.75" customHeight="1" x14ac:dyDescent="0.25">
      <c r="D629" s="1"/>
      <c r="E629" s="1"/>
      <c r="F629" s="1"/>
      <c r="G629" s="1"/>
      <c r="H629" s="1"/>
      <c r="I629" s="1"/>
    </row>
    <row r="630" spans="4:9" ht="15.75" customHeight="1" x14ac:dyDescent="0.25">
      <c r="D630" s="1"/>
      <c r="E630" s="1"/>
      <c r="F630" s="1"/>
      <c r="G630" s="1"/>
      <c r="H630" s="1"/>
      <c r="I630" s="1"/>
    </row>
    <row r="631" spans="4:9" ht="15.75" customHeight="1" x14ac:dyDescent="0.25">
      <c r="D631" s="1"/>
      <c r="E631" s="1"/>
      <c r="F631" s="1"/>
      <c r="G631" s="1"/>
      <c r="H631" s="1"/>
      <c r="I631" s="1"/>
    </row>
    <row r="632" spans="4:9" ht="15.75" customHeight="1" x14ac:dyDescent="0.25">
      <c r="D632" s="1"/>
      <c r="E632" s="1"/>
      <c r="F632" s="1"/>
      <c r="G632" s="1"/>
      <c r="H632" s="1"/>
      <c r="I632" s="1"/>
    </row>
    <row r="633" spans="4:9" ht="15.75" customHeight="1" x14ac:dyDescent="0.25">
      <c r="D633" s="1"/>
      <c r="E633" s="1"/>
      <c r="F633" s="1"/>
      <c r="G633" s="1"/>
      <c r="H633" s="1"/>
      <c r="I633" s="1"/>
    </row>
    <row r="634" spans="4:9" ht="15.75" customHeight="1" x14ac:dyDescent="0.25">
      <c r="D634" s="1"/>
      <c r="E634" s="1"/>
      <c r="F634" s="1"/>
      <c r="G634" s="1"/>
      <c r="H634" s="1"/>
      <c r="I634" s="1"/>
    </row>
    <row r="635" spans="4:9" ht="15.75" customHeight="1" x14ac:dyDescent="0.25">
      <c r="D635" s="1"/>
      <c r="E635" s="1"/>
      <c r="F635" s="1"/>
      <c r="G635" s="1"/>
      <c r="H635" s="1"/>
      <c r="I635" s="1"/>
    </row>
    <row r="636" spans="4:9" ht="15.75" customHeight="1" x14ac:dyDescent="0.25">
      <c r="D636" s="1"/>
      <c r="E636" s="1"/>
      <c r="F636" s="1"/>
      <c r="G636" s="1"/>
      <c r="H636" s="1"/>
      <c r="I636" s="1"/>
    </row>
    <row r="637" spans="4:9" ht="15.75" customHeight="1" x14ac:dyDescent="0.25">
      <c r="D637" s="1"/>
      <c r="E637" s="1"/>
      <c r="F637" s="1"/>
      <c r="G637" s="1"/>
      <c r="H637" s="1"/>
      <c r="I637" s="1"/>
    </row>
    <row r="638" spans="4:9" ht="15.75" customHeight="1" x14ac:dyDescent="0.25">
      <c r="D638" s="1"/>
      <c r="E638" s="1"/>
      <c r="F638" s="1"/>
      <c r="G638" s="1"/>
      <c r="H638" s="1"/>
      <c r="I638" s="1"/>
    </row>
    <row r="639" spans="4:9" ht="15.75" customHeight="1" x14ac:dyDescent="0.25">
      <c r="D639" s="1"/>
      <c r="E639" s="1"/>
      <c r="F639" s="1"/>
      <c r="G639" s="1"/>
      <c r="H639" s="1"/>
      <c r="I639" s="1"/>
    </row>
    <row r="640" spans="4:9" ht="15.75" customHeight="1" x14ac:dyDescent="0.25">
      <c r="D640" s="1"/>
      <c r="E640" s="1"/>
      <c r="F640" s="1"/>
      <c r="G640" s="1"/>
      <c r="H640" s="1"/>
      <c r="I640" s="1"/>
    </row>
    <row r="641" spans="4:9" ht="15.75" customHeight="1" x14ac:dyDescent="0.25">
      <c r="D641" s="1"/>
      <c r="E641" s="1"/>
      <c r="F641" s="1"/>
      <c r="G641" s="1"/>
      <c r="H641" s="1"/>
      <c r="I641" s="1"/>
    </row>
    <row r="642" spans="4:9" ht="15.75" customHeight="1" x14ac:dyDescent="0.25">
      <c r="D642" s="1"/>
      <c r="E642" s="1"/>
      <c r="F642" s="1"/>
      <c r="G642" s="1"/>
      <c r="H642" s="1"/>
      <c r="I642" s="1"/>
    </row>
    <row r="643" spans="4:9" ht="15.75" customHeight="1" x14ac:dyDescent="0.25">
      <c r="D643" s="1"/>
      <c r="E643" s="1"/>
      <c r="F643" s="1"/>
      <c r="G643" s="1"/>
      <c r="H643" s="1"/>
      <c r="I643" s="1"/>
    </row>
    <row r="644" spans="4:9" ht="15.75" customHeight="1" x14ac:dyDescent="0.25">
      <c r="D644" s="1"/>
      <c r="E644" s="1"/>
      <c r="F644" s="1"/>
      <c r="G644" s="1"/>
      <c r="H644" s="1"/>
      <c r="I644" s="1"/>
    </row>
    <row r="645" spans="4:9" ht="15.75" customHeight="1" x14ac:dyDescent="0.25">
      <c r="D645" s="1"/>
      <c r="E645" s="1"/>
      <c r="F645" s="1"/>
      <c r="G645" s="1"/>
      <c r="H645" s="1"/>
      <c r="I645" s="1"/>
    </row>
    <row r="646" spans="4:9" ht="15.75" customHeight="1" x14ac:dyDescent="0.25">
      <c r="D646" s="1"/>
      <c r="E646" s="1"/>
      <c r="F646" s="1"/>
      <c r="G646" s="1"/>
      <c r="H646" s="1"/>
      <c r="I646" s="1"/>
    </row>
    <row r="647" spans="4:9" ht="15.75" customHeight="1" x14ac:dyDescent="0.25">
      <c r="D647" s="1"/>
      <c r="E647" s="1"/>
      <c r="F647" s="1"/>
      <c r="G647" s="1"/>
      <c r="H647" s="1"/>
      <c r="I647" s="1"/>
    </row>
    <row r="648" spans="4:9" ht="15.75" customHeight="1" x14ac:dyDescent="0.25">
      <c r="D648" s="1"/>
      <c r="E648" s="1"/>
      <c r="F648" s="1"/>
      <c r="G648" s="1"/>
      <c r="H648" s="1"/>
      <c r="I648" s="1"/>
    </row>
    <row r="649" spans="4:9" ht="15.75" customHeight="1" x14ac:dyDescent="0.25">
      <c r="D649" s="1"/>
      <c r="E649" s="1"/>
      <c r="F649" s="1"/>
      <c r="G649" s="1"/>
      <c r="H649" s="1"/>
      <c r="I649" s="1"/>
    </row>
    <row r="650" spans="4:9" ht="15.75" customHeight="1" x14ac:dyDescent="0.25">
      <c r="D650" s="1"/>
      <c r="E650" s="1"/>
      <c r="F650" s="1"/>
      <c r="G650" s="1"/>
      <c r="H650" s="1"/>
      <c r="I650" s="1"/>
    </row>
    <row r="651" spans="4:9" ht="15.75" customHeight="1" x14ac:dyDescent="0.25">
      <c r="D651" s="1"/>
      <c r="E651" s="1"/>
      <c r="F651" s="1"/>
      <c r="G651" s="1"/>
      <c r="H651" s="1"/>
      <c r="I651" s="1"/>
    </row>
    <row r="652" spans="4:9" ht="15.75" customHeight="1" x14ac:dyDescent="0.25">
      <c r="D652" s="1"/>
      <c r="E652" s="1"/>
      <c r="F652" s="1"/>
      <c r="G652" s="1"/>
      <c r="H652" s="1"/>
      <c r="I652" s="1"/>
    </row>
    <row r="653" spans="4:9" ht="15.75" customHeight="1" x14ac:dyDescent="0.25">
      <c r="D653" s="1"/>
      <c r="E653" s="1"/>
      <c r="F653" s="1"/>
      <c r="G653" s="1"/>
      <c r="H653" s="1"/>
      <c r="I653" s="1"/>
    </row>
    <row r="654" spans="4:9" ht="15.75" customHeight="1" x14ac:dyDescent="0.25">
      <c r="D654" s="1"/>
      <c r="E654" s="1"/>
      <c r="F654" s="1"/>
      <c r="G654" s="1"/>
      <c r="H654" s="1"/>
      <c r="I654" s="1"/>
    </row>
    <row r="655" spans="4:9" ht="15.75" customHeight="1" x14ac:dyDescent="0.25">
      <c r="D655" s="1"/>
      <c r="E655" s="1"/>
      <c r="F655" s="1"/>
      <c r="G655" s="1"/>
      <c r="H655" s="1"/>
      <c r="I655" s="1"/>
    </row>
    <row r="656" spans="4:9" ht="15.75" customHeight="1" x14ac:dyDescent="0.25">
      <c r="D656" s="1"/>
      <c r="E656" s="1"/>
      <c r="F656" s="1"/>
      <c r="G656" s="1"/>
      <c r="H656" s="1"/>
      <c r="I656" s="1"/>
    </row>
    <row r="657" spans="4:9" ht="15.75" customHeight="1" x14ac:dyDescent="0.25">
      <c r="D657" s="1"/>
      <c r="E657" s="1"/>
      <c r="F657" s="1"/>
      <c r="G657" s="1"/>
      <c r="H657" s="1"/>
      <c r="I657" s="1"/>
    </row>
    <row r="658" spans="4:9" ht="15.75" customHeight="1" x14ac:dyDescent="0.25">
      <c r="D658" s="1"/>
      <c r="E658" s="1"/>
      <c r="F658" s="1"/>
      <c r="G658" s="1"/>
      <c r="H658" s="1"/>
      <c r="I658" s="1"/>
    </row>
    <row r="659" spans="4:9" ht="15.75" customHeight="1" x14ac:dyDescent="0.25">
      <c r="D659" s="1"/>
      <c r="E659" s="1"/>
      <c r="F659" s="1"/>
      <c r="G659" s="1"/>
      <c r="H659" s="1"/>
      <c r="I659" s="1"/>
    </row>
    <row r="660" spans="4:9" ht="15.75" customHeight="1" x14ac:dyDescent="0.25">
      <c r="D660" s="1"/>
      <c r="E660" s="1"/>
      <c r="F660" s="1"/>
      <c r="G660" s="1"/>
      <c r="H660" s="1"/>
      <c r="I660" s="1"/>
    </row>
    <row r="661" spans="4:9" ht="15.75" customHeight="1" x14ac:dyDescent="0.25">
      <c r="D661" s="1"/>
      <c r="E661" s="1"/>
      <c r="F661" s="1"/>
      <c r="G661" s="1"/>
      <c r="H661" s="1"/>
      <c r="I661" s="1"/>
    </row>
    <row r="662" spans="4:9" ht="15.75" customHeight="1" x14ac:dyDescent="0.25">
      <c r="D662" s="1"/>
      <c r="E662" s="1"/>
      <c r="F662" s="1"/>
      <c r="G662" s="1"/>
      <c r="H662" s="1"/>
      <c r="I662" s="1"/>
    </row>
    <row r="663" spans="4:9" ht="15.75" customHeight="1" x14ac:dyDescent="0.25">
      <c r="D663" s="1"/>
      <c r="E663" s="1"/>
      <c r="F663" s="1"/>
      <c r="G663" s="1"/>
      <c r="H663" s="1"/>
      <c r="I663" s="1"/>
    </row>
    <row r="664" spans="4:9" ht="15.75" customHeight="1" x14ac:dyDescent="0.25">
      <c r="D664" s="1"/>
      <c r="E664" s="1"/>
      <c r="F664" s="1"/>
      <c r="G664" s="1"/>
      <c r="H664" s="1"/>
      <c r="I664" s="1"/>
    </row>
    <row r="665" spans="4:9" ht="15.75" customHeight="1" x14ac:dyDescent="0.25">
      <c r="D665" s="1"/>
      <c r="E665" s="1"/>
      <c r="F665" s="1"/>
      <c r="G665" s="1"/>
      <c r="H665" s="1"/>
      <c r="I665" s="1"/>
    </row>
    <row r="666" spans="4:9" ht="15.75" customHeight="1" x14ac:dyDescent="0.25">
      <c r="D666" s="1"/>
      <c r="E666" s="1"/>
      <c r="F666" s="1"/>
      <c r="G666" s="1"/>
      <c r="H666" s="1"/>
      <c r="I666" s="1"/>
    </row>
    <row r="667" spans="4:9" ht="15.75" customHeight="1" x14ac:dyDescent="0.25">
      <c r="D667" s="1"/>
      <c r="E667" s="1"/>
      <c r="F667" s="1"/>
      <c r="G667" s="1"/>
      <c r="H667" s="1"/>
      <c r="I667" s="1"/>
    </row>
    <row r="668" spans="4:9" ht="15.75" customHeight="1" x14ac:dyDescent="0.25">
      <c r="D668" s="1"/>
      <c r="E668" s="1"/>
      <c r="F668" s="1"/>
      <c r="G668" s="1"/>
      <c r="H668" s="1"/>
      <c r="I668" s="1"/>
    </row>
    <row r="669" spans="4:9" ht="15.75" customHeight="1" x14ac:dyDescent="0.25">
      <c r="D669" s="1"/>
      <c r="E669" s="1"/>
      <c r="F669" s="1"/>
      <c r="G669" s="1"/>
      <c r="H669" s="1"/>
      <c r="I669" s="1"/>
    </row>
    <row r="670" spans="4:9" ht="15.75" customHeight="1" x14ac:dyDescent="0.25">
      <c r="D670" s="1"/>
      <c r="E670" s="1"/>
      <c r="F670" s="1"/>
      <c r="G670" s="1"/>
      <c r="H670" s="1"/>
      <c r="I670" s="1"/>
    </row>
    <row r="671" spans="4:9" ht="15.75" customHeight="1" x14ac:dyDescent="0.25">
      <c r="D671" s="1"/>
      <c r="E671" s="1"/>
      <c r="F671" s="1"/>
      <c r="G671" s="1"/>
      <c r="H671" s="1"/>
      <c r="I671" s="1"/>
    </row>
    <row r="672" spans="4:9" ht="15.75" customHeight="1" x14ac:dyDescent="0.25">
      <c r="D672" s="1"/>
      <c r="E672" s="1"/>
      <c r="F672" s="1"/>
      <c r="G672" s="1"/>
      <c r="H672" s="1"/>
      <c r="I672" s="1"/>
    </row>
    <row r="673" spans="4:9" ht="15.75" customHeight="1" x14ac:dyDescent="0.25">
      <c r="D673" s="1"/>
      <c r="E673" s="1"/>
      <c r="F673" s="1"/>
      <c r="G673" s="1"/>
      <c r="H673" s="1"/>
      <c r="I673" s="1"/>
    </row>
    <row r="674" spans="4:9" ht="15.75" customHeight="1" x14ac:dyDescent="0.25">
      <c r="D674" s="1"/>
      <c r="E674" s="1"/>
      <c r="F674" s="1"/>
      <c r="G674" s="1"/>
      <c r="H674" s="1"/>
      <c r="I674" s="1"/>
    </row>
    <row r="675" spans="4:9" ht="15.75" customHeight="1" x14ac:dyDescent="0.25">
      <c r="D675" s="1"/>
      <c r="E675" s="1"/>
      <c r="F675" s="1"/>
      <c r="G675" s="1"/>
      <c r="H675" s="1"/>
      <c r="I675" s="1"/>
    </row>
    <row r="676" spans="4:9" ht="15.75" customHeight="1" x14ac:dyDescent="0.25">
      <c r="D676" s="1"/>
      <c r="E676" s="1"/>
      <c r="F676" s="1"/>
      <c r="G676" s="1"/>
      <c r="H676" s="1"/>
      <c r="I676" s="1"/>
    </row>
    <row r="677" spans="4:9" ht="15.75" customHeight="1" x14ac:dyDescent="0.25">
      <c r="D677" s="1"/>
      <c r="E677" s="1"/>
      <c r="F677" s="1"/>
      <c r="G677" s="1"/>
      <c r="H677" s="1"/>
      <c r="I677" s="1"/>
    </row>
    <row r="678" spans="4:9" ht="15.75" customHeight="1" x14ac:dyDescent="0.25">
      <c r="D678" s="1"/>
      <c r="E678" s="1"/>
      <c r="F678" s="1"/>
      <c r="G678" s="1"/>
      <c r="H678" s="1"/>
      <c r="I678" s="1"/>
    </row>
    <row r="679" spans="4:9" ht="15.75" customHeight="1" x14ac:dyDescent="0.25">
      <c r="D679" s="1"/>
      <c r="E679" s="1"/>
      <c r="F679" s="1"/>
      <c r="G679" s="1"/>
      <c r="H679" s="1"/>
      <c r="I679" s="1"/>
    </row>
    <row r="680" spans="4:9" ht="15.75" customHeight="1" x14ac:dyDescent="0.25">
      <c r="D680" s="1"/>
      <c r="E680" s="1"/>
      <c r="F680" s="1"/>
      <c r="G680" s="1"/>
      <c r="H680" s="1"/>
      <c r="I680" s="1"/>
    </row>
    <row r="681" spans="4:9" ht="15.75" customHeight="1" x14ac:dyDescent="0.25">
      <c r="D681" s="1"/>
      <c r="E681" s="1"/>
      <c r="F681" s="1"/>
      <c r="G681" s="1"/>
      <c r="H681" s="1"/>
      <c r="I681" s="1"/>
    </row>
    <row r="682" spans="4:9" ht="15.75" customHeight="1" x14ac:dyDescent="0.25">
      <c r="D682" s="1"/>
      <c r="E682" s="1"/>
      <c r="F682" s="1"/>
      <c r="G682" s="1"/>
      <c r="H682" s="1"/>
      <c r="I682" s="1"/>
    </row>
    <row r="683" spans="4:9" ht="15.75" customHeight="1" x14ac:dyDescent="0.25">
      <c r="D683" s="1"/>
      <c r="E683" s="1"/>
      <c r="F683" s="1"/>
      <c r="G683" s="1"/>
      <c r="H683" s="1"/>
      <c r="I683" s="1"/>
    </row>
    <row r="684" spans="4:9" ht="15.75" customHeight="1" x14ac:dyDescent="0.25">
      <c r="D684" s="1"/>
      <c r="E684" s="1"/>
      <c r="F684" s="1"/>
      <c r="G684" s="1"/>
      <c r="H684" s="1"/>
      <c r="I684" s="1"/>
    </row>
    <row r="685" spans="4:9" ht="15.75" customHeight="1" x14ac:dyDescent="0.25">
      <c r="D685" s="1"/>
      <c r="E685" s="1"/>
      <c r="F685" s="1"/>
      <c r="G685" s="1"/>
      <c r="H685" s="1"/>
      <c r="I685" s="1"/>
    </row>
    <row r="686" spans="4:9" ht="15.75" customHeight="1" x14ac:dyDescent="0.25">
      <c r="D686" s="1"/>
      <c r="E686" s="1"/>
      <c r="F686" s="1"/>
      <c r="G686" s="1"/>
      <c r="H686" s="1"/>
      <c r="I686" s="1"/>
    </row>
    <row r="687" spans="4:9" ht="15.75" customHeight="1" x14ac:dyDescent="0.25">
      <c r="D687" s="1"/>
      <c r="E687" s="1"/>
      <c r="F687" s="1"/>
      <c r="G687" s="1"/>
      <c r="H687" s="1"/>
      <c r="I687" s="1"/>
    </row>
    <row r="688" spans="4:9" ht="15.75" customHeight="1" x14ac:dyDescent="0.25">
      <c r="D688" s="1"/>
      <c r="E688" s="1"/>
      <c r="F688" s="1"/>
      <c r="G688" s="1"/>
      <c r="H688" s="1"/>
      <c r="I688" s="1"/>
    </row>
    <row r="689" spans="4:9" ht="15.75" customHeight="1" x14ac:dyDescent="0.25">
      <c r="D689" s="1"/>
      <c r="E689" s="1"/>
      <c r="F689" s="1"/>
      <c r="G689" s="1"/>
      <c r="H689" s="1"/>
      <c r="I689" s="1"/>
    </row>
    <row r="690" spans="4:9" ht="15.75" customHeight="1" x14ac:dyDescent="0.25">
      <c r="D690" s="1"/>
      <c r="E690" s="1"/>
      <c r="F690" s="1"/>
      <c r="G690" s="1"/>
      <c r="H690" s="1"/>
      <c r="I690" s="1"/>
    </row>
    <row r="691" spans="4:9" ht="15.75" customHeight="1" x14ac:dyDescent="0.25">
      <c r="D691" s="1"/>
      <c r="E691" s="1"/>
      <c r="F691" s="1"/>
      <c r="G691" s="1"/>
      <c r="H691" s="1"/>
      <c r="I691" s="1"/>
    </row>
    <row r="692" spans="4:9" ht="15.75" customHeight="1" x14ac:dyDescent="0.25">
      <c r="D692" s="1"/>
      <c r="E692" s="1"/>
      <c r="F692" s="1"/>
      <c r="G692" s="1"/>
      <c r="H692" s="1"/>
      <c r="I692" s="1"/>
    </row>
    <row r="693" spans="4:9" ht="15.75" customHeight="1" x14ac:dyDescent="0.25">
      <c r="D693" s="1"/>
      <c r="E693" s="1"/>
      <c r="F693" s="1"/>
      <c r="G693" s="1"/>
      <c r="H693" s="1"/>
      <c r="I693" s="1"/>
    </row>
    <row r="694" spans="4:9" ht="15.75" customHeight="1" x14ac:dyDescent="0.25">
      <c r="D694" s="1"/>
      <c r="E694" s="1"/>
      <c r="F694" s="1"/>
      <c r="G694" s="1"/>
      <c r="H694" s="1"/>
      <c r="I694" s="1"/>
    </row>
    <row r="695" spans="4:9" ht="15.75" customHeight="1" x14ac:dyDescent="0.25">
      <c r="D695" s="1"/>
      <c r="E695" s="1"/>
      <c r="F695" s="1"/>
      <c r="G695" s="1"/>
      <c r="H695" s="1"/>
      <c r="I695" s="1"/>
    </row>
    <row r="696" spans="4:9" ht="15.75" customHeight="1" x14ac:dyDescent="0.25">
      <c r="D696" s="1"/>
      <c r="E696" s="1"/>
      <c r="F696" s="1"/>
      <c r="G696" s="1"/>
      <c r="H696" s="1"/>
      <c r="I696" s="1"/>
    </row>
    <row r="697" spans="4:9" ht="15.75" customHeight="1" x14ac:dyDescent="0.25">
      <c r="D697" s="1"/>
      <c r="E697" s="1"/>
      <c r="F697" s="1"/>
      <c r="G697" s="1"/>
      <c r="H697" s="1"/>
      <c r="I697" s="1"/>
    </row>
    <row r="698" spans="4:9" ht="15.75" customHeight="1" x14ac:dyDescent="0.25">
      <c r="D698" s="1"/>
      <c r="E698" s="1"/>
      <c r="F698" s="1"/>
      <c r="G698" s="1"/>
      <c r="H698" s="1"/>
      <c r="I698" s="1"/>
    </row>
    <row r="699" spans="4:9" ht="15.75" customHeight="1" x14ac:dyDescent="0.25">
      <c r="D699" s="1"/>
      <c r="E699" s="1"/>
      <c r="F699" s="1"/>
      <c r="G699" s="1"/>
      <c r="H699" s="1"/>
      <c r="I699" s="1"/>
    </row>
    <row r="700" spans="4:9" ht="15.75" customHeight="1" x14ac:dyDescent="0.25">
      <c r="D700" s="1"/>
      <c r="E700" s="1"/>
      <c r="F700" s="1"/>
      <c r="G700" s="1"/>
      <c r="H700" s="1"/>
      <c r="I700" s="1"/>
    </row>
    <row r="701" spans="4:9" ht="15.75" customHeight="1" x14ac:dyDescent="0.25">
      <c r="D701" s="1"/>
      <c r="E701" s="1"/>
      <c r="F701" s="1"/>
      <c r="G701" s="1"/>
      <c r="H701" s="1"/>
      <c r="I701" s="1"/>
    </row>
    <row r="702" spans="4:9" ht="15.75" customHeight="1" x14ac:dyDescent="0.25">
      <c r="D702" s="1"/>
      <c r="E702" s="1"/>
      <c r="F702" s="1"/>
      <c r="G702" s="1"/>
      <c r="H702" s="1"/>
      <c r="I702" s="1"/>
    </row>
    <row r="703" spans="4:9" ht="15.75" customHeight="1" x14ac:dyDescent="0.25">
      <c r="D703" s="1"/>
      <c r="E703" s="1"/>
      <c r="F703" s="1"/>
      <c r="G703" s="1"/>
      <c r="H703" s="1"/>
      <c r="I703" s="1"/>
    </row>
    <row r="704" spans="4:9" ht="15.75" customHeight="1" x14ac:dyDescent="0.25">
      <c r="D704" s="1"/>
      <c r="E704" s="1"/>
      <c r="F704" s="1"/>
      <c r="G704" s="1"/>
      <c r="H704" s="1"/>
      <c r="I704" s="1"/>
    </row>
    <row r="705" spans="4:9" ht="15.75" customHeight="1" x14ac:dyDescent="0.25">
      <c r="D705" s="1"/>
      <c r="E705" s="1"/>
      <c r="F705" s="1"/>
      <c r="G705" s="1"/>
      <c r="H705" s="1"/>
      <c r="I705" s="1"/>
    </row>
    <row r="706" spans="4:9" ht="15.75" customHeight="1" x14ac:dyDescent="0.25">
      <c r="D706" s="1"/>
      <c r="E706" s="1"/>
      <c r="F706" s="1"/>
      <c r="G706" s="1"/>
      <c r="H706" s="1"/>
      <c r="I706" s="1"/>
    </row>
    <row r="707" spans="4:9" ht="15.75" customHeight="1" x14ac:dyDescent="0.25">
      <c r="D707" s="1"/>
      <c r="E707" s="1"/>
      <c r="F707" s="1"/>
      <c r="G707" s="1"/>
      <c r="H707" s="1"/>
      <c r="I707" s="1"/>
    </row>
    <row r="708" spans="4:9" ht="15.75" customHeight="1" x14ac:dyDescent="0.25">
      <c r="D708" s="1"/>
      <c r="E708" s="1"/>
      <c r="F708" s="1"/>
      <c r="G708" s="1"/>
      <c r="H708" s="1"/>
      <c r="I708" s="1"/>
    </row>
    <row r="709" spans="4:9" ht="15.75" customHeight="1" x14ac:dyDescent="0.25">
      <c r="D709" s="1"/>
      <c r="E709" s="1"/>
      <c r="F709" s="1"/>
      <c r="G709" s="1"/>
      <c r="H709" s="1"/>
      <c r="I709" s="1"/>
    </row>
    <row r="710" spans="4:9" ht="15.75" customHeight="1" x14ac:dyDescent="0.25">
      <c r="D710" s="1"/>
      <c r="E710" s="1"/>
      <c r="F710" s="1"/>
      <c r="G710" s="1"/>
      <c r="H710" s="1"/>
      <c r="I710" s="1"/>
    </row>
    <row r="711" spans="4:9" ht="15.75" customHeight="1" x14ac:dyDescent="0.25">
      <c r="D711" s="1"/>
      <c r="E711" s="1"/>
      <c r="F711" s="1"/>
      <c r="G711" s="1"/>
      <c r="H711" s="1"/>
      <c r="I711" s="1"/>
    </row>
    <row r="712" spans="4:9" ht="15.75" customHeight="1" x14ac:dyDescent="0.25">
      <c r="D712" s="1"/>
      <c r="E712" s="1"/>
      <c r="F712" s="1"/>
      <c r="G712" s="1"/>
      <c r="H712" s="1"/>
      <c r="I712" s="1"/>
    </row>
    <row r="713" spans="4:9" ht="15.75" customHeight="1" x14ac:dyDescent="0.25">
      <c r="D713" s="1"/>
      <c r="E713" s="1"/>
      <c r="F713" s="1"/>
      <c r="G713" s="1"/>
      <c r="H713" s="1"/>
      <c r="I713" s="1"/>
    </row>
    <row r="714" spans="4:9" ht="15.75" customHeight="1" x14ac:dyDescent="0.25">
      <c r="D714" s="1"/>
      <c r="E714" s="1"/>
      <c r="F714" s="1"/>
      <c r="G714" s="1"/>
      <c r="H714" s="1"/>
      <c r="I714" s="1"/>
    </row>
    <row r="715" spans="4:9" ht="15.75" customHeight="1" x14ac:dyDescent="0.25">
      <c r="D715" s="1"/>
      <c r="E715" s="1"/>
      <c r="F715" s="1"/>
      <c r="G715" s="1"/>
      <c r="H715" s="1"/>
      <c r="I715" s="1"/>
    </row>
    <row r="716" spans="4:9" ht="15.75" customHeight="1" x14ac:dyDescent="0.25">
      <c r="D716" s="1"/>
      <c r="E716" s="1"/>
      <c r="F716" s="1"/>
      <c r="G716" s="1"/>
      <c r="H716" s="1"/>
      <c r="I716" s="1"/>
    </row>
    <row r="717" spans="4:9" ht="15.75" customHeight="1" x14ac:dyDescent="0.25">
      <c r="D717" s="1"/>
      <c r="E717" s="1"/>
      <c r="F717" s="1"/>
      <c r="G717" s="1"/>
      <c r="H717" s="1"/>
      <c r="I717" s="1"/>
    </row>
    <row r="718" spans="4:9" ht="15.75" customHeight="1" x14ac:dyDescent="0.25">
      <c r="D718" s="1"/>
      <c r="E718" s="1"/>
      <c r="F718" s="1"/>
      <c r="G718" s="1"/>
      <c r="H718" s="1"/>
      <c r="I718" s="1"/>
    </row>
    <row r="719" spans="4:9" ht="15.75" customHeight="1" x14ac:dyDescent="0.25">
      <c r="D719" s="1"/>
      <c r="E719" s="1"/>
      <c r="F719" s="1"/>
      <c r="G719" s="1"/>
      <c r="H719" s="1"/>
      <c r="I719" s="1"/>
    </row>
    <row r="720" spans="4:9" ht="15.75" customHeight="1" x14ac:dyDescent="0.25">
      <c r="D720" s="1"/>
      <c r="E720" s="1"/>
      <c r="F720" s="1"/>
      <c r="G720" s="1"/>
      <c r="H720" s="1"/>
      <c r="I720" s="1"/>
    </row>
    <row r="721" spans="4:9" ht="15.75" customHeight="1" x14ac:dyDescent="0.25">
      <c r="D721" s="1"/>
      <c r="E721" s="1"/>
      <c r="F721" s="1"/>
      <c r="G721" s="1"/>
      <c r="H721" s="1"/>
      <c r="I721" s="1"/>
    </row>
    <row r="722" spans="4:9" ht="15.75" customHeight="1" x14ac:dyDescent="0.25">
      <c r="D722" s="1"/>
      <c r="E722" s="1"/>
      <c r="F722" s="1"/>
      <c r="G722" s="1"/>
      <c r="H722" s="1"/>
      <c r="I722" s="1"/>
    </row>
    <row r="723" spans="4:9" ht="15.75" customHeight="1" x14ac:dyDescent="0.25">
      <c r="D723" s="1"/>
      <c r="E723" s="1"/>
      <c r="F723" s="1"/>
      <c r="G723" s="1"/>
      <c r="H723" s="1"/>
      <c r="I723" s="1"/>
    </row>
    <row r="724" spans="4:9" ht="15.75" customHeight="1" x14ac:dyDescent="0.25">
      <c r="D724" s="1"/>
      <c r="E724" s="1"/>
      <c r="F724" s="1"/>
      <c r="G724" s="1"/>
      <c r="H724" s="1"/>
      <c r="I724" s="1"/>
    </row>
    <row r="725" spans="4:9" ht="15.75" customHeight="1" x14ac:dyDescent="0.25">
      <c r="D725" s="1"/>
      <c r="E725" s="1"/>
      <c r="F725" s="1"/>
      <c r="G725" s="1"/>
      <c r="H725" s="1"/>
      <c r="I725" s="1"/>
    </row>
    <row r="726" spans="4:9" ht="15.75" customHeight="1" x14ac:dyDescent="0.25">
      <c r="D726" s="1"/>
      <c r="E726" s="1"/>
      <c r="F726" s="1"/>
      <c r="G726" s="1"/>
      <c r="H726" s="1"/>
      <c r="I726" s="1"/>
    </row>
    <row r="727" spans="4:9" ht="15.75" customHeight="1" x14ac:dyDescent="0.25">
      <c r="D727" s="1"/>
      <c r="E727" s="1"/>
      <c r="F727" s="1"/>
      <c r="G727" s="1"/>
      <c r="H727" s="1"/>
      <c r="I727" s="1"/>
    </row>
    <row r="728" spans="4:9" ht="15.75" customHeight="1" x14ac:dyDescent="0.25">
      <c r="D728" s="1"/>
      <c r="E728" s="1"/>
      <c r="F728" s="1"/>
      <c r="G728" s="1"/>
      <c r="H728" s="1"/>
      <c r="I728" s="1"/>
    </row>
    <row r="729" spans="4:9" ht="15.75" customHeight="1" x14ac:dyDescent="0.25">
      <c r="D729" s="1"/>
      <c r="E729" s="1"/>
      <c r="F729" s="1"/>
      <c r="G729" s="1"/>
      <c r="H729" s="1"/>
      <c r="I729" s="1"/>
    </row>
    <row r="730" spans="4:9" ht="15.75" customHeight="1" x14ac:dyDescent="0.25">
      <c r="D730" s="1"/>
      <c r="E730" s="1"/>
      <c r="F730" s="1"/>
      <c r="G730" s="1"/>
      <c r="H730" s="1"/>
      <c r="I730" s="1"/>
    </row>
    <row r="731" spans="4:9" ht="15.75" customHeight="1" x14ac:dyDescent="0.25">
      <c r="D731" s="1"/>
      <c r="E731" s="1"/>
      <c r="F731" s="1"/>
      <c r="G731" s="1"/>
      <c r="H731" s="1"/>
      <c r="I731" s="1"/>
    </row>
    <row r="732" spans="4:9" ht="15.75" customHeight="1" x14ac:dyDescent="0.25">
      <c r="D732" s="1"/>
      <c r="E732" s="1"/>
      <c r="F732" s="1"/>
      <c r="G732" s="1"/>
      <c r="H732" s="1"/>
      <c r="I732" s="1"/>
    </row>
    <row r="733" spans="4:9" ht="15.75" customHeight="1" x14ac:dyDescent="0.25">
      <c r="D733" s="1"/>
      <c r="E733" s="1"/>
      <c r="F733" s="1"/>
      <c r="G733" s="1"/>
      <c r="H733" s="1"/>
      <c r="I733" s="1"/>
    </row>
    <row r="734" spans="4:9" ht="15.75" customHeight="1" x14ac:dyDescent="0.25">
      <c r="D734" s="1"/>
      <c r="E734" s="1"/>
      <c r="F734" s="1"/>
      <c r="G734" s="1"/>
      <c r="H734" s="1"/>
      <c r="I734" s="1"/>
    </row>
    <row r="735" spans="4:9" ht="15.75" customHeight="1" x14ac:dyDescent="0.25">
      <c r="D735" s="1"/>
      <c r="E735" s="1"/>
      <c r="F735" s="1"/>
      <c r="G735" s="1"/>
      <c r="H735" s="1"/>
      <c r="I735" s="1"/>
    </row>
    <row r="736" spans="4:9" ht="15.75" customHeight="1" x14ac:dyDescent="0.25">
      <c r="D736" s="1"/>
      <c r="E736" s="1"/>
      <c r="F736" s="1"/>
      <c r="G736" s="1"/>
      <c r="H736" s="1"/>
      <c r="I736" s="1"/>
    </row>
    <row r="737" spans="4:9" ht="15.75" customHeight="1" x14ac:dyDescent="0.25">
      <c r="D737" s="1"/>
      <c r="E737" s="1"/>
      <c r="F737" s="1"/>
      <c r="G737" s="1"/>
      <c r="H737" s="1"/>
      <c r="I737" s="1"/>
    </row>
    <row r="738" spans="4:9" ht="15.75" customHeight="1" x14ac:dyDescent="0.25">
      <c r="D738" s="1"/>
      <c r="E738" s="1"/>
      <c r="F738" s="1"/>
      <c r="G738" s="1"/>
      <c r="H738" s="1"/>
      <c r="I738" s="1"/>
    </row>
    <row r="739" spans="4:9" ht="15.75" customHeight="1" x14ac:dyDescent="0.25">
      <c r="D739" s="1"/>
      <c r="E739" s="1"/>
      <c r="F739" s="1"/>
      <c r="G739" s="1"/>
      <c r="H739" s="1"/>
      <c r="I739" s="1"/>
    </row>
    <row r="740" spans="4:9" ht="15.75" customHeight="1" x14ac:dyDescent="0.25">
      <c r="D740" s="1"/>
      <c r="E740" s="1"/>
      <c r="F740" s="1"/>
      <c r="G740" s="1"/>
      <c r="H740" s="1"/>
      <c r="I740" s="1"/>
    </row>
    <row r="741" spans="4:9" ht="15.75" customHeight="1" x14ac:dyDescent="0.25">
      <c r="D741" s="1"/>
      <c r="E741" s="1"/>
      <c r="F741" s="1"/>
      <c r="G741" s="1"/>
      <c r="H741" s="1"/>
      <c r="I741" s="1"/>
    </row>
    <row r="742" spans="4:9" ht="15.75" customHeight="1" x14ac:dyDescent="0.25">
      <c r="D742" s="1"/>
      <c r="E742" s="1"/>
      <c r="F742" s="1"/>
      <c r="G742" s="1"/>
      <c r="H742" s="1"/>
      <c r="I742" s="1"/>
    </row>
    <row r="743" spans="4:9" ht="15.75" customHeight="1" x14ac:dyDescent="0.25">
      <c r="D743" s="1"/>
      <c r="E743" s="1"/>
      <c r="F743" s="1"/>
      <c r="G743" s="1"/>
      <c r="H743" s="1"/>
      <c r="I743" s="1"/>
    </row>
    <row r="744" spans="4:9" ht="15.75" customHeight="1" x14ac:dyDescent="0.25">
      <c r="D744" s="1"/>
      <c r="E744" s="1"/>
      <c r="F744" s="1"/>
      <c r="G744" s="1"/>
      <c r="H744" s="1"/>
      <c r="I744" s="1"/>
    </row>
    <row r="745" spans="4:9" ht="15.75" customHeight="1" x14ac:dyDescent="0.25">
      <c r="D745" s="1"/>
      <c r="E745" s="1"/>
      <c r="F745" s="1"/>
      <c r="G745" s="1"/>
      <c r="H745" s="1"/>
      <c r="I745" s="1"/>
    </row>
    <row r="746" spans="4:9" ht="15.75" customHeight="1" x14ac:dyDescent="0.25">
      <c r="D746" s="1"/>
      <c r="E746" s="1"/>
      <c r="F746" s="1"/>
      <c r="G746" s="1"/>
      <c r="H746" s="1"/>
      <c r="I746" s="1"/>
    </row>
    <row r="747" spans="4:9" ht="15.75" customHeight="1" x14ac:dyDescent="0.25">
      <c r="D747" s="1"/>
      <c r="E747" s="1"/>
      <c r="F747" s="1"/>
      <c r="G747" s="1"/>
      <c r="H747" s="1"/>
      <c r="I747" s="1"/>
    </row>
    <row r="748" spans="4:9" ht="15.75" customHeight="1" x14ac:dyDescent="0.25">
      <c r="D748" s="1"/>
      <c r="E748" s="1"/>
      <c r="F748" s="1"/>
      <c r="G748" s="1"/>
      <c r="H748" s="1"/>
      <c r="I748" s="1"/>
    </row>
    <row r="749" spans="4:9" ht="15.75" customHeight="1" x14ac:dyDescent="0.25">
      <c r="D749" s="1"/>
      <c r="E749" s="1"/>
      <c r="F749" s="1"/>
      <c r="G749" s="1"/>
      <c r="H749" s="1"/>
      <c r="I749" s="1"/>
    </row>
    <row r="750" spans="4:9" ht="15.75" customHeight="1" x14ac:dyDescent="0.25">
      <c r="D750" s="1"/>
      <c r="E750" s="1"/>
      <c r="F750" s="1"/>
      <c r="G750" s="1"/>
      <c r="H750" s="1"/>
      <c r="I750" s="1"/>
    </row>
    <row r="751" spans="4:9" ht="15.75" customHeight="1" x14ac:dyDescent="0.25">
      <c r="D751" s="1"/>
      <c r="E751" s="1"/>
      <c r="F751" s="1"/>
      <c r="G751" s="1"/>
      <c r="H751" s="1"/>
      <c r="I751" s="1"/>
    </row>
    <row r="752" spans="4:9" ht="15.75" customHeight="1" x14ac:dyDescent="0.25">
      <c r="D752" s="1"/>
      <c r="E752" s="1"/>
      <c r="F752" s="1"/>
      <c r="G752" s="1"/>
      <c r="H752" s="1"/>
      <c r="I752" s="1"/>
    </row>
    <row r="753" spans="4:9" ht="15.75" customHeight="1" x14ac:dyDescent="0.25">
      <c r="D753" s="1"/>
      <c r="E753" s="1"/>
      <c r="F753" s="1"/>
      <c r="G753" s="1"/>
      <c r="H753" s="1"/>
      <c r="I753" s="1"/>
    </row>
    <row r="754" spans="4:9" ht="15.75" customHeight="1" x14ac:dyDescent="0.25">
      <c r="D754" s="1"/>
      <c r="E754" s="1"/>
      <c r="F754" s="1"/>
      <c r="G754" s="1"/>
      <c r="H754" s="1"/>
      <c r="I754" s="1"/>
    </row>
    <row r="755" spans="4:9" ht="15.75" customHeight="1" x14ac:dyDescent="0.25">
      <c r="D755" s="1"/>
      <c r="E755" s="1"/>
      <c r="F755" s="1"/>
      <c r="G755" s="1"/>
      <c r="H755" s="1"/>
      <c r="I755" s="1"/>
    </row>
    <row r="756" spans="4:9" ht="15.75" customHeight="1" x14ac:dyDescent="0.25">
      <c r="D756" s="1"/>
      <c r="E756" s="1"/>
      <c r="F756" s="1"/>
      <c r="G756" s="1"/>
      <c r="H756" s="1"/>
      <c r="I756" s="1"/>
    </row>
    <row r="757" spans="4:9" ht="15.75" customHeight="1" x14ac:dyDescent="0.25">
      <c r="D757" s="1"/>
      <c r="E757" s="1"/>
      <c r="F757" s="1"/>
      <c r="G757" s="1"/>
      <c r="H757" s="1"/>
      <c r="I757" s="1"/>
    </row>
    <row r="758" spans="4:9" ht="15.75" customHeight="1" x14ac:dyDescent="0.25">
      <c r="D758" s="1"/>
      <c r="E758" s="1"/>
      <c r="F758" s="1"/>
      <c r="G758" s="1"/>
      <c r="H758" s="1"/>
      <c r="I758" s="1"/>
    </row>
    <row r="759" spans="4:9" ht="15.75" customHeight="1" x14ac:dyDescent="0.25">
      <c r="D759" s="1"/>
      <c r="E759" s="1"/>
      <c r="F759" s="1"/>
      <c r="G759" s="1"/>
      <c r="H759" s="1"/>
      <c r="I759" s="1"/>
    </row>
    <row r="760" spans="4:9" ht="15.75" customHeight="1" x14ac:dyDescent="0.25">
      <c r="D760" s="1"/>
      <c r="E760" s="1"/>
      <c r="F760" s="1"/>
      <c r="G760" s="1"/>
      <c r="H760" s="1"/>
      <c r="I760" s="1"/>
    </row>
    <row r="761" spans="4:9" ht="15.75" customHeight="1" x14ac:dyDescent="0.25">
      <c r="D761" s="1"/>
      <c r="E761" s="1"/>
      <c r="F761" s="1"/>
      <c r="G761" s="1"/>
      <c r="H761" s="1"/>
      <c r="I761" s="1"/>
    </row>
    <row r="762" spans="4:9" ht="15.75" customHeight="1" x14ac:dyDescent="0.25">
      <c r="D762" s="1"/>
      <c r="E762" s="1"/>
      <c r="F762" s="1"/>
      <c r="G762" s="1"/>
      <c r="H762" s="1"/>
      <c r="I762" s="1"/>
    </row>
    <row r="763" spans="4:9" ht="15.75" customHeight="1" x14ac:dyDescent="0.25">
      <c r="D763" s="1"/>
      <c r="E763" s="1"/>
      <c r="F763" s="1"/>
      <c r="G763" s="1"/>
      <c r="H763" s="1"/>
      <c r="I763" s="1"/>
    </row>
    <row r="764" spans="4:9" ht="15.75" customHeight="1" x14ac:dyDescent="0.25">
      <c r="D764" s="1"/>
      <c r="E764" s="1"/>
      <c r="F764" s="1"/>
      <c r="G764" s="1"/>
      <c r="H764" s="1"/>
      <c r="I764" s="1"/>
    </row>
    <row r="765" spans="4:9" ht="15.75" customHeight="1" x14ac:dyDescent="0.25">
      <c r="D765" s="1"/>
      <c r="E765" s="1"/>
      <c r="F765" s="1"/>
      <c r="G765" s="1"/>
      <c r="H765" s="1"/>
      <c r="I765" s="1"/>
    </row>
    <row r="766" spans="4:9" ht="15.75" customHeight="1" x14ac:dyDescent="0.25">
      <c r="D766" s="1"/>
      <c r="E766" s="1"/>
      <c r="F766" s="1"/>
      <c r="G766" s="1"/>
      <c r="H766" s="1"/>
      <c r="I766" s="1"/>
    </row>
    <row r="767" spans="4:9" ht="15.75" customHeight="1" x14ac:dyDescent="0.25">
      <c r="D767" s="1"/>
      <c r="E767" s="1"/>
      <c r="F767" s="1"/>
      <c r="G767" s="1"/>
      <c r="H767" s="1"/>
      <c r="I767" s="1"/>
    </row>
    <row r="768" spans="4:9" ht="15.75" customHeight="1" x14ac:dyDescent="0.25">
      <c r="D768" s="1"/>
      <c r="E768" s="1"/>
      <c r="F768" s="1"/>
      <c r="G768" s="1"/>
      <c r="H768" s="1"/>
      <c r="I768" s="1"/>
    </row>
    <row r="769" spans="4:9" ht="15.75" customHeight="1" x14ac:dyDescent="0.25">
      <c r="D769" s="1"/>
      <c r="E769" s="1"/>
      <c r="F769" s="1"/>
      <c r="G769" s="1"/>
      <c r="H769" s="1"/>
      <c r="I769" s="1"/>
    </row>
    <row r="770" spans="4:9" ht="15.75" customHeight="1" x14ac:dyDescent="0.25">
      <c r="D770" s="1"/>
      <c r="E770" s="1"/>
      <c r="F770" s="1"/>
      <c r="G770" s="1"/>
      <c r="H770" s="1"/>
      <c r="I770" s="1"/>
    </row>
    <row r="771" spans="4:9" ht="15.75" customHeight="1" x14ac:dyDescent="0.25">
      <c r="D771" s="1"/>
      <c r="E771" s="1"/>
      <c r="F771" s="1"/>
      <c r="G771" s="1"/>
      <c r="H771" s="1"/>
      <c r="I771" s="1"/>
    </row>
    <row r="772" spans="4:9" ht="15.75" customHeight="1" x14ac:dyDescent="0.25">
      <c r="D772" s="1"/>
      <c r="E772" s="1"/>
      <c r="F772" s="1"/>
      <c r="G772" s="1"/>
      <c r="H772" s="1"/>
      <c r="I772" s="1"/>
    </row>
    <row r="773" spans="4:9" ht="15.75" customHeight="1" x14ac:dyDescent="0.25">
      <c r="D773" s="1"/>
      <c r="E773" s="1"/>
      <c r="F773" s="1"/>
      <c r="G773" s="1"/>
      <c r="H773" s="1"/>
      <c r="I773" s="1"/>
    </row>
    <row r="774" spans="4:9" ht="15.75" customHeight="1" x14ac:dyDescent="0.25">
      <c r="D774" s="1"/>
      <c r="E774" s="1"/>
      <c r="F774" s="1"/>
      <c r="G774" s="1"/>
      <c r="H774" s="1"/>
      <c r="I774" s="1"/>
    </row>
    <row r="775" spans="4:9" ht="15.75" customHeight="1" x14ac:dyDescent="0.25">
      <c r="D775" s="1"/>
      <c r="E775" s="1"/>
      <c r="F775" s="1"/>
      <c r="G775" s="1"/>
      <c r="H775" s="1"/>
      <c r="I775" s="1"/>
    </row>
    <row r="776" spans="4:9" ht="15.75" customHeight="1" x14ac:dyDescent="0.25">
      <c r="D776" s="1"/>
      <c r="E776" s="1"/>
      <c r="F776" s="1"/>
      <c r="G776" s="1"/>
      <c r="H776" s="1"/>
      <c r="I776" s="1"/>
    </row>
    <row r="777" spans="4:9" ht="15.75" customHeight="1" x14ac:dyDescent="0.25">
      <c r="D777" s="1"/>
      <c r="E777" s="1"/>
      <c r="F777" s="1"/>
      <c r="G777" s="1"/>
      <c r="H777" s="1"/>
      <c r="I777" s="1"/>
    </row>
    <row r="778" spans="4:9" ht="15.75" customHeight="1" x14ac:dyDescent="0.25">
      <c r="D778" s="1"/>
      <c r="E778" s="1"/>
      <c r="F778" s="1"/>
      <c r="G778" s="1"/>
      <c r="H778" s="1"/>
      <c r="I778" s="1"/>
    </row>
    <row r="779" spans="4:9" ht="15.75" customHeight="1" x14ac:dyDescent="0.25">
      <c r="D779" s="1"/>
      <c r="E779" s="1"/>
      <c r="F779" s="1"/>
      <c r="G779" s="1"/>
      <c r="H779" s="1"/>
      <c r="I779" s="1"/>
    </row>
    <row r="780" spans="4:9" ht="15.75" customHeight="1" x14ac:dyDescent="0.25">
      <c r="D780" s="1"/>
      <c r="E780" s="1"/>
      <c r="F780" s="1"/>
      <c r="G780" s="1"/>
      <c r="H780" s="1"/>
      <c r="I780" s="1"/>
    </row>
    <row r="781" spans="4:9" ht="15.75" customHeight="1" x14ac:dyDescent="0.25">
      <c r="D781" s="1"/>
      <c r="E781" s="1"/>
      <c r="F781" s="1"/>
      <c r="G781" s="1"/>
      <c r="H781" s="1"/>
      <c r="I781" s="1"/>
    </row>
    <row r="782" spans="4:9" ht="15.75" customHeight="1" x14ac:dyDescent="0.25">
      <c r="D782" s="1"/>
      <c r="E782" s="1"/>
      <c r="F782" s="1"/>
      <c r="G782" s="1"/>
      <c r="H782" s="1"/>
      <c r="I782" s="1"/>
    </row>
    <row r="783" spans="4:9" ht="15.75" customHeight="1" x14ac:dyDescent="0.25">
      <c r="D783" s="1"/>
      <c r="E783" s="1"/>
      <c r="F783" s="1"/>
      <c r="G783" s="1"/>
      <c r="H783" s="1"/>
      <c r="I783" s="1"/>
    </row>
    <row r="784" spans="4:9" ht="15.75" customHeight="1" x14ac:dyDescent="0.25">
      <c r="D784" s="1"/>
      <c r="E784" s="1"/>
      <c r="F784" s="1"/>
      <c r="G784" s="1"/>
      <c r="H784" s="1"/>
      <c r="I784" s="1"/>
    </row>
    <row r="785" spans="4:9" ht="15.75" customHeight="1" x14ac:dyDescent="0.25">
      <c r="D785" s="1"/>
      <c r="E785" s="1"/>
      <c r="F785" s="1"/>
      <c r="G785" s="1"/>
      <c r="H785" s="1"/>
      <c r="I785" s="1"/>
    </row>
    <row r="786" spans="4:9" ht="15.75" customHeight="1" x14ac:dyDescent="0.25">
      <c r="D786" s="1"/>
      <c r="E786" s="1"/>
      <c r="F786" s="1"/>
      <c r="G786" s="1"/>
      <c r="H786" s="1"/>
      <c r="I786" s="1"/>
    </row>
    <row r="787" spans="4:9" ht="15.75" customHeight="1" x14ac:dyDescent="0.25">
      <c r="D787" s="1"/>
      <c r="E787" s="1"/>
      <c r="F787" s="1"/>
      <c r="G787" s="1"/>
      <c r="H787" s="1"/>
      <c r="I787" s="1"/>
    </row>
    <row r="788" spans="4:9" ht="15.75" customHeight="1" x14ac:dyDescent="0.25">
      <c r="D788" s="1"/>
      <c r="E788" s="1"/>
      <c r="F788" s="1"/>
      <c r="G788" s="1"/>
      <c r="H788" s="1"/>
      <c r="I788" s="1"/>
    </row>
    <row r="789" spans="4:9" ht="15.75" customHeight="1" x14ac:dyDescent="0.25">
      <c r="D789" s="1"/>
      <c r="E789" s="1"/>
      <c r="F789" s="1"/>
      <c r="G789" s="1"/>
      <c r="H789" s="1"/>
      <c r="I789" s="1"/>
    </row>
    <row r="790" spans="4:9" ht="15.75" customHeight="1" x14ac:dyDescent="0.25">
      <c r="D790" s="1"/>
      <c r="E790" s="1"/>
      <c r="F790" s="1"/>
      <c r="G790" s="1"/>
      <c r="H790" s="1"/>
      <c r="I790" s="1"/>
    </row>
    <row r="791" spans="4:9" ht="15.75" customHeight="1" x14ac:dyDescent="0.25">
      <c r="D791" s="1"/>
      <c r="E791" s="1"/>
      <c r="F791" s="1"/>
      <c r="G791" s="1"/>
      <c r="H791" s="1"/>
      <c r="I791" s="1"/>
    </row>
    <row r="792" spans="4:9" ht="15.75" customHeight="1" x14ac:dyDescent="0.25">
      <c r="D792" s="1"/>
      <c r="E792" s="1"/>
      <c r="F792" s="1"/>
      <c r="G792" s="1"/>
      <c r="H792" s="1"/>
      <c r="I792" s="1"/>
    </row>
    <row r="793" spans="4:9" ht="15.75" customHeight="1" x14ac:dyDescent="0.25">
      <c r="D793" s="1"/>
      <c r="E793" s="1"/>
      <c r="F793" s="1"/>
      <c r="G793" s="1"/>
      <c r="H793" s="1"/>
      <c r="I793" s="1"/>
    </row>
    <row r="794" spans="4:9" ht="15.75" customHeight="1" x14ac:dyDescent="0.25">
      <c r="D794" s="1"/>
      <c r="E794" s="1"/>
      <c r="F794" s="1"/>
      <c r="G794" s="1"/>
      <c r="H794" s="1"/>
      <c r="I794" s="1"/>
    </row>
    <row r="795" spans="4:9" ht="15.75" customHeight="1" x14ac:dyDescent="0.25">
      <c r="D795" s="1"/>
      <c r="E795" s="1"/>
      <c r="F795" s="1"/>
      <c r="G795" s="1"/>
      <c r="H795" s="1"/>
      <c r="I795" s="1"/>
    </row>
    <row r="796" spans="4:9" ht="15.75" customHeight="1" x14ac:dyDescent="0.25">
      <c r="D796" s="1"/>
      <c r="E796" s="1"/>
      <c r="F796" s="1"/>
      <c r="G796" s="1"/>
      <c r="H796" s="1"/>
      <c r="I796" s="1"/>
    </row>
    <row r="797" spans="4:9" ht="15.75" customHeight="1" x14ac:dyDescent="0.25">
      <c r="D797" s="1"/>
      <c r="E797" s="1"/>
      <c r="F797" s="1"/>
      <c r="G797" s="1"/>
      <c r="H797" s="1"/>
      <c r="I797" s="1"/>
    </row>
    <row r="798" spans="4:9" ht="15.75" customHeight="1" x14ac:dyDescent="0.25">
      <c r="D798" s="1"/>
      <c r="E798" s="1"/>
      <c r="F798" s="1"/>
      <c r="G798" s="1"/>
      <c r="H798" s="1"/>
      <c r="I798" s="1"/>
    </row>
    <row r="799" spans="4:9" ht="15.75" customHeight="1" x14ac:dyDescent="0.25">
      <c r="D799" s="1"/>
      <c r="E799" s="1"/>
      <c r="F799" s="1"/>
      <c r="G799" s="1"/>
      <c r="H799" s="1"/>
      <c r="I799" s="1"/>
    </row>
    <row r="800" spans="4:9" ht="15.75" customHeight="1" x14ac:dyDescent="0.25">
      <c r="D800" s="1"/>
      <c r="E800" s="1"/>
      <c r="F800" s="1"/>
      <c r="G800" s="1"/>
      <c r="H800" s="1"/>
      <c r="I800" s="1"/>
    </row>
    <row r="801" spans="4:9" ht="15.75" customHeight="1" x14ac:dyDescent="0.25">
      <c r="D801" s="1"/>
      <c r="E801" s="1"/>
      <c r="F801" s="1"/>
      <c r="G801" s="1"/>
      <c r="H801" s="1"/>
      <c r="I801" s="1"/>
    </row>
    <row r="802" spans="4:9" ht="15.75" customHeight="1" x14ac:dyDescent="0.25">
      <c r="D802" s="1"/>
      <c r="E802" s="1"/>
      <c r="F802" s="1"/>
      <c r="G802" s="1"/>
      <c r="H802" s="1"/>
      <c r="I802" s="1"/>
    </row>
    <row r="803" spans="4:9" ht="15.75" customHeight="1" x14ac:dyDescent="0.25">
      <c r="D803" s="1"/>
      <c r="E803" s="1"/>
      <c r="F803" s="1"/>
      <c r="G803" s="1"/>
      <c r="H803" s="1"/>
      <c r="I803" s="1"/>
    </row>
    <row r="804" spans="4:9" ht="15.75" customHeight="1" x14ac:dyDescent="0.25">
      <c r="D804" s="1"/>
      <c r="E804" s="1"/>
      <c r="F804" s="1"/>
      <c r="G804" s="1"/>
      <c r="H804" s="1"/>
      <c r="I804" s="1"/>
    </row>
    <row r="805" spans="4:9" ht="15.75" customHeight="1" x14ac:dyDescent="0.25">
      <c r="D805" s="1"/>
      <c r="E805" s="1"/>
      <c r="F805" s="1"/>
      <c r="G805" s="1"/>
      <c r="H805" s="1"/>
      <c r="I805" s="1"/>
    </row>
    <row r="806" spans="4:9" ht="15.75" customHeight="1" x14ac:dyDescent="0.25">
      <c r="D806" s="1"/>
      <c r="E806" s="1"/>
      <c r="F806" s="1"/>
      <c r="G806" s="1"/>
      <c r="H806" s="1"/>
      <c r="I806" s="1"/>
    </row>
    <row r="807" spans="4:9" ht="15.75" customHeight="1" x14ac:dyDescent="0.25">
      <c r="D807" s="1"/>
      <c r="E807" s="1"/>
      <c r="F807" s="1"/>
      <c r="G807" s="1"/>
      <c r="H807" s="1"/>
      <c r="I807" s="1"/>
    </row>
    <row r="808" spans="4:9" ht="15.75" customHeight="1" x14ac:dyDescent="0.25">
      <c r="D808" s="1"/>
      <c r="E808" s="1"/>
      <c r="F808" s="1"/>
      <c r="G808" s="1"/>
      <c r="H808" s="1"/>
      <c r="I808" s="1"/>
    </row>
    <row r="809" spans="4:9" ht="15.75" customHeight="1" x14ac:dyDescent="0.25">
      <c r="D809" s="1"/>
      <c r="E809" s="1"/>
      <c r="F809" s="1"/>
      <c r="G809" s="1"/>
      <c r="H809" s="1"/>
      <c r="I809" s="1"/>
    </row>
    <row r="810" spans="4:9" ht="15.75" customHeight="1" x14ac:dyDescent="0.25">
      <c r="D810" s="1"/>
      <c r="E810" s="1"/>
      <c r="F810" s="1"/>
      <c r="G810" s="1"/>
      <c r="H810" s="1"/>
      <c r="I810" s="1"/>
    </row>
    <row r="811" spans="4:9" ht="15.75" customHeight="1" x14ac:dyDescent="0.25">
      <c r="D811" s="1"/>
      <c r="E811" s="1"/>
      <c r="F811" s="1"/>
      <c r="G811" s="1"/>
      <c r="H811" s="1"/>
      <c r="I811" s="1"/>
    </row>
    <row r="812" spans="4:9" ht="15.75" customHeight="1" x14ac:dyDescent="0.25">
      <c r="D812" s="1"/>
      <c r="E812" s="1"/>
      <c r="F812" s="1"/>
      <c r="G812" s="1"/>
      <c r="H812" s="1"/>
      <c r="I812" s="1"/>
    </row>
    <row r="813" spans="4:9" ht="15.75" customHeight="1" x14ac:dyDescent="0.25">
      <c r="D813" s="1"/>
      <c r="E813" s="1"/>
      <c r="F813" s="1"/>
      <c r="G813" s="1"/>
      <c r="H813" s="1"/>
      <c r="I813" s="1"/>
    </row>
    <row r="814" spans="4:9" ht="15.75" customHeight="1" x14ac:dyDescent="0.25">
      <c r="D814" s="1"/>
      <c r="E814" s="1"/>
      <c r="F814" s="1"/>
      <c r="G814" s="1"/>
      <c r="H814" s="1"/>
      <c r="I814" s="1"/>
    </row>
    <row r="815" spans="4:9" ht="15.75" customHeight="1" x14ac:dyDescent="0.25">
      <c r="D815" s="1"/>
      <c r="E815" s="1"/>
      <c r="F815" s="1"/>
      <c r="G815" s="1"/>
      <c r="H815" s="1"/>
      <c r="I815" s="1"/>
    </row>
    <row r="816" spans="4:9" ht="15.75" customHeight="1" x14ac:dyDescent="0.25">
      <c r="D816" s="1"/>
      <c r="E816" s="1"/>
      <c r="F816" s="1"/>
      <c r="G816" s="1"/>
      <c r="H816" s="1"/>
      <c r="I816" s="1"/>
    </row>
    <row r="817" spans="4:9" ht="15.75" customHeight="1" x14ac:dyDescent="0.25">
      <c r="D817" s="1"/>
      <c r="E817" s="1"/>
      <c r="F817" s="1"/>
      <c r="G817" s="1"/>
      <c r="H817" s="1"/>
      <c r="I817" s="1"/>
    </row>
    <row r="818" spans="4:9" ht="15.75" customHeight="1" x14ac:dyDescent="0.25">
      <c r="D818" s="1"/>
      <c r="E818" s="1"/>
      <c r="F818" s="1"/>
      <c r="G818" s="1"/>
      <c r="H818" s="1"/>
      <c r="I818" s="1"/>
    </row>
    <row r="819" spans="4:9" ht="15.75" customHeight="1" x14ac:dyDescent="0.25">
      <c r="D819" s="1"/>
      <c r="E819" s="1"/>
      <c r="F819" s="1"/>
      <c r="G819" s="1"/>
      <c r="H819" s="1"/>
      <c r="I819" s="1"/>
    </row>
    <row r="820" spans="4:9" ht="15.75" customHeight="1" x14ac:dyDescent="0.25">
      <c r="D820" s="1"/>
      <c r="E820" s="1"/>
      <c r="F820" s="1"/>
      <c r="G820" s="1"/>
      <c r="H820" s="1"/>
      <c r="I820" s="1"/>
    </row>
    <row r="821" spans="4:9" ht="15.75" customHeight="1" x14ac:dyDescent="0.25">
      <c r="D821" s="1"/>
      <c r="E821" s="1"/>
      <c r="F821" s="1"/>
      <c r="G821" s="1"/>
      <c r="H821" s="1"/>
      <c r="I821" s="1"/>
    </row>
    <row r="822" spans="4:9" ht="15.75" customHeight="1" x14ac:dyDescent="0.25">
      <c r="D822" s="1"/>
      <c r="E822" s="1"/>
      <c r="F822" s="1"/>
      <c r="G822" s="1"/>
      <c r="H822" s="1"/>
      <c r="I822" s="1"/>
    </row>
    <row r="823" spans="4:9" ht="15.75" customHeight="1" x14ac:dyDescent="0.25">
      <c r="D823" s="1"/>
      <c r="E823" s="1"/>
      <c r="F823" s="1"/>
      <c r="G823" s="1"/>
      <c r="H823" s="1"/>
      <c r="I823" s="1"/>
    </row>
    <row r="824" spans="4:9" ht="15.75" customHeight="1" x14ac:dyDescent="0.25">
      <c r="D824" s="1"/>
      <c r="E824" s="1"/>
      <c r="F824" s="1"/>
      <c r="G824" s="1"/>
      <c r="H824" s="1"/>
      <c r="I824" s="1"/>
    </row>
    <row r="825" spans="4:9" ht="15.75" customHeight="1" x14ac:dyDescent="0.25">
      <c r="D825" s="1"/>
      <c r="E825" s="1"/>
      <c r="F825" s="1"/>
      <c r="G825" s="1"/>
      <c r="H825" s="1"/>
      <c r="I825" s="1"/>
    </row>
    <row r="826" spans="4:9" ht="15.75" customHeight="1" x14ac:dyDescent="0.25">
      <c r="D826" s="1"/>
      <c r="E826" s="1"/>
      <c r="F826" s="1"/>
      <c r="G826" s="1"/>
      <c r="H826" s="1"/>
      <c r="I826" s="1"/>
    </row>
    <row r="827" spans="4:9" ht="15.75" customHeight="1" x14ac:dyDescent="0.25">
      <c r="D827" s="1"/>
      <c r="E827" s="1"/>
      <c r="F827" s="1"/>
      <c r="G827" s="1"/>
      <c r="H827" s="1"/>
      <c r="I827" s="1"/>
    </row>
    <row r="828" spans="4:9" ht="15.75" customHeight="1" x14ac:dyDescent="0.25">
      <c r="D828" s="1"/>
      <c r="E828" s="1"/>
      <c r="F828" s="1"/>
      <c r="G828" s="1"/>
      <c r="H828" s="1"/>
      <c r="I828" s="1"/>
    </row>
    <row r="829" spans="4:9" ht="15.75" customHeight="1" x14ac:dyDescent="0.25">
      <c r="D829" s="1"/>
      <c r="E829" s="1"/>
      <c r="F829" s="1"/>
      <c r="G829" s="1"/>
      <c r="H829" s="1"/>
      <c r="I829" s="1"/>
    </row>
    <row r="830" spans="4:9" ht="15.75" customHeight="1" x14ac:dyDescent="0.25">
      <c r="D830" s="1"/>
      <c r="E830" s="1"/>
      <c r="F830" s="1"/>
      <c r="G830" s="1"/>
      <c r="H830" s="1"/>
      <c r="I830" s="1"/>
    </row>
    <row r="831" spans="4:9" ht="15.75" customHeight="1" x14ac:dyDescent="0.25">
      <c r="D831" s="1"/>
      <c r="E831" s="1"/>
      <c r="F831" s="1"/>
      <c r="G831" s="1"/>
      <c r="H831" s="1"/>
      <c r="I831" s="1"/>
    </row>
    <row r="832" spans="4:9" ht="15.75" customHeight="1" x14ac:dyDescent="0.25">
      <c r="D832" s="1"/>
      <c r="E832" s="1"/>
      <c r="F832" s="1"/>
      <c r="G832" s="1"/>
      <c r="H832" s="1"/>
      <c r="I832" s="1"/>
    </row>
    <row r="833" spans="4:9" ht="15.75" customHeight="1" x14ac:dyDescent="0.25">
      <c r="D833" s="1"/>
      <c r="E833" s="1"/>
      <c r="F833" s="1"/>
      <c r="G833" s="1"/>
      <c r="H833" s="1"/>
      <c r="I833" s="1"/>
    </row>
    <row r="834" spans="4:9" ht="15.75" customHeight="1" x14ac:dyDescent="0.25">
      <c r="D834" s="1"/>
      <c r="E834" s="1"/>
      <c r="F834" s="1"/>
      <c r="G834" s="1"/>
      <c r="H834" s="1"/>
      <c r="I834" s="1"/>
    </row>
    <row r="835" spans="4:9" ht="15.75" customHeight="1" x14ac:dyDescent="0.25">
      <c r="D835" s="1"/>
      <c r="E835" s="1"/>
      <c r="F835" s="1"/>
      <c r="G835" s="1"/>
      <c r="H835" s="1"/>
      <c r="I835" s="1"/>
    </row>
    <row r="836" spans="4:9" ht="15.75" customHeight="1" x14ac:dyDescent="0.25">
      <c r="D836" s="1"/>
      <c r="E836" s="1"/>
      <c r="F836" s="1"/>
      <c r="G836" s="1"/>
      <c r="H836" s="1"/>
      <c r="I836" s="1"/>
    </row>
    <row r="837" spans="4:9" ht="15.75" customHeight="1" x14ac:dyDescent="0.25">
      <c r="D837" s="1"/>
      <c r="E837" s="1"/>
      <c r="F837" s="1"/>
      <c r="G837" s="1"/>
      <c r="H837" s="1"/>
      <c r="I837" s="1"/>
    </row>
    <row r="838" spans="4:9" ht="15.75" customHeight="1" x14ac:dyDescent="0.25">
      <c r="D838" s="1"/>
      <c r="E838" s="1"/>
      <c r="F838" s="1"/>
      <c r="G838" s="1"/>
      <c r="H838" s="1"/>
      <c r="I838" s="1"/>
    </row>
    <row r="839" spans="4:9" ht="15.75" customHeight="1" x14ac:dyDescent="0.25">
      <c r="D839" s="1"/>
      <c r="E839" s="1"/>
      <c r="F839" s="1"/>
      <c r="G839" s="1"/>
      <c r="H839" s="1"/>
      <c r="I839" s="1"/>
    </row>
    <row r="840" spans="4:9" ht="15.75" customHeight="1" x14ac:dyDescent="0.25">
      <c r="D840" s="1"/>
      <c r="E840" s="1"/>
      <c r="F840" s="1"/>
      <c r="G840" s="1"/>
      <c r="H840" s="1"/>
      <c r="I840" s="1"/>
    </row>
    <row r="841" spans="4:9" ht="15.75" customHeight="1" x14ac:dyDescent="0.25">
      <c r="D841" s="1"/>
      <c r="E841" s="1"/>
      <c r="F841" s="1"/>
      <c r="G841" s="1"/>
      <c r="H841" s="1"/>
      <c r="I841" s="1"/>
    </row>
    <row r="842" spans="4:9" ht="15.75" customHeight="1" x14ac:dyDescent="0.25">
      <c r="D842" s="1"/>
      <c r="E842" s="1"/>
      <c r="F842" s="1"/>
      <c r="G842" s="1"/>
      <c r="H842" s="1"/>
      <c r="I842" s="1"/>
    </row>
    <row r="843" spans="4:9" ht="15.75" customHeight="1" x14ac:dyDescent="0.25">
      <c r="D843" s="1"/>
      <c r="E843" s="1"/>
      <c r="F843" s="1"/>
      <c r="G843" s="1"/>
      <c r="H843" s="1"/>
      <c r="I843" s="1"/>
    </row>
    <row r="844" spans="4:9" ht="15.75" customHeight="1" x14ac:dyDescent="0.25">
      <c r="D844" s="1"/>
      <c r="E844" s="1"/>
      <c r="F844" s="1"/>
      <c r="G844" s="1"/>
      <c r="H844" s="1"/>
      <c r="I844" s="1"/>
    </row>
    <row r="845" spans="4:9" ht="15.75" customHeight="1" x14ac:dyDescent="0.25">
      <c r="D845" s="1"/>
      <c r="E845" s="1"/>
      <c r="F845" s="1"/>
      <c r="G845" s="1"/>
      <c r="H845" s="1"/>
      <c r="I845" s="1"/>
    </row>
    <row r="846" spans="4:9" ht="15.75" customHeight="1" x14ac:dyDescent="0.25">
      <c r="D846" s="1"/>
      <c r="E846" s="1"/>
      <c r="F846" s="1"/>
      <c r="G846" s="1"/>
      <c r="H846" s="1"/>
      <c r="I846" s="1"/>
    </row>
    <row r="847" spans="4:9" ht="15.75" customHeight="1" x14ac:dyDescent="0.25">
      <c r="D847" s="1"/>
      <c r="E847" s="1"/>
      <c r="F847" s="1"/>
      <c r="G847" s="1"/>
      <c r="H847" s="1"/>
      <c r="I847" s="1"/>
    </row>
    <row r="848" spans="4:9" ht="15.75" customHeight="1" x14ac:dyDescent="0.25">
      <c r="D848" s="1"/>
      <c r="E848" s="1"/>
      <c r="F848" s="1"/>
      <c r="G848" s="1"/>
      <c r="H848" s="1"/>
      <c r="I848" s="1"/>
    </row>
    <row r="849" spans="4:9" ht="15.75" customHeight="1" x14ac:dyDescent="0.25">
      <c r="D849" s="1"/>
      <c r="E849" s="1"/>
      <c r="F849" s="1"/>
      <c r="G849" s="1"/>
      <c r="H849" s="1"/>
      <c r="I849" s="1"/>
    </row>
    <row r="850" spans="4:9" ht="15.75" customHeight="1" x14ac:dyDescent="0.25">
      <c r="D850" s="1"/>
      <c r="E850" s="1"/>
      <c r="F850" s="1"/>
      <c r="G850" s="1"/>
      <c r="H850" s="1"/>
      <c r="I850" s="1"/>
    </row>
    <row r="851" spans="4:9" ht="15.75" customHeight="1" x14ac:dyDescent="0.25">
      <c r="D851" s="1"/>
      <c r="E851" s="1"/>
      <c r="F851" s="1"/>
      <c r="G851" s="1"/>
      <c r="H851" s="1"/>
      <c r="I851" s="1"/>
    </row>
    <row r="852" spans="4:9" ht="15.75" customHeight="1" x14ac:dyDescent="0.25">
      <c r="D852" s="1"/>
      <c r="E852" s="1"/>
      <c r="F852" s="1"/>
      <c r="G852" s="1"/>
      <c r="H852" s="1"/>
      <c r="I852" s="1"/>
    </row>
    <row r="853" spans="4:9" ht="15.75" customHeight="1" x14ac:dyDescent="0.25">
      <c r="D853" s="1"/>
      <c r="E853" s="1"/>
      <c r="F853" s="1"/>
      <c r="G853" s="1"/>
      <c r="H853" s="1"/>
      <c r="I853" s="1"/>
    </row>
    <row r="854" spans="4:9" ht="15.75" customHeight="1" x14ac:dyDescent="0.25">
      <c r="D854" s="1"/>
      <c r="E854" s="1"/>
      <c r="F854" s="1"/>
      <c r="G854" s="1"/>
      <c r="H854" s="1"/>
      <c r="I854" s="1"/>
    </row>
    <row r="855" spans="4:9" ht="15.75" customHeight="1" x14ac:dyDescent="0.25">
      <c r="D855" s="1"/>
      <c r="E855" s="1"/>
      <c r="F855" s="1"/>
      <c r="G855" s="1"/>
      <c r="H855" s="1"/>
      <c r="I855" s="1"/>
    </row>
    <row r="856" spans="4:9" ht="15.75" customHeight="1" x14ac:dyDescent="0.25">
      <c r="D856" s="1"/>
      <c r="E856" s="1"/>
      <c r="F856" s="1"/>
      <c r="G856" s="1"/>
      <c r="H856" s="1"/>
      <c r="I856" s="1"/>
    </row>
    <row r="857" spans="4:9" ht="15.75" customHeight="1" x14ac:dyDescent="0.25">
      <c r="D857" s="1"/>
      <c r="E857" s="1"/>
      <c r="F857" s="1"/>
      <c r="G857" s="1"/>
      <c r="H857" s="1"/>
      <c r="I857" s="1"/>
    </row>
    <row r="858" spans="4:9" ht="15.75" customHeight="1" x14ac:dyDescent="0.25">
      <c r="D858" s="1"/>
      <c r="E858" s="1"/>
      <c r="F858" s="1"/>
      <c r="G858" s="1"/>
      <c r="H858" s="1"/>
      <c r="I858" s="1"/>
    </row>
    <row r="859" spans="4:9" ht="15.75" customHeight="1" x14ac:dyDescent="0.25">
      <c r="D859" s="1"/>
      <c r="E859" s="1"/>
      <c r="F859" s="1"/>
      <c r="G859" s="1"/>
      <c r="H859" s="1"/>
      <c r="I859" s="1"/>
    </row>
    <row r="860" spans="4:9" ht="15.75" customHeight="1" x14ac:dyDescent="0.25">
      <c r="D860" s="1"/>
      <c r="E860" s="1"/>
      <c r="F860" s="1"/>
      <c r="G860" s="1"/>
      <c r="H860" s="1"/>
      <c r="I860" s="1"/>
    </row>
    <row r="861" spans="4:9" ht="15.75" customHeight="1" x14ac:dyDescent="0.25">
      <c r="D861" s="1"/>
      <c r="E861" s="1"/>
      <c r="F861" s="1"/>
      <c r="G861" s="1"/>
      <c r="H861" s="1"/>
      <c r="I861" s="1"/>
    </row>
    <row r="862" spans="4:9" ht="15.75" customHeight="1" x14ac:dyDescent="0.25">
      <c r="D862" s="1"/>
      <c r="E862" s="1"/>
      <c r="F862" s="1"/>
      <c r="G862" s="1"/>
      <c r="H862" s="1"/>
      <c r="I862" s="1"/>
    </row>
    <row r="863" spans="4:9" ht="15.75" customHeight="1" x14ac:dyDescent="0.25">
      <c r="D863" s="1"/>
      <c r="E863" s="1"/>
      <c r="F863" s="1"/>
      <c r="G863" s="1"/>
      <c r="H863" s="1"/>
      <c r="I863" s="1"/>
    </row>
    <row r="864" spans="4:9" ht="15.75" customHeight="1" x14ac:dyDescent="0.25">
      <c r="D864" s="1"/>
      <c r="E864" s="1"/>
      <c r="F864" s="1"/>
      <c r="G864" s="1"/>
      <c r="H864" s="1"/>
      <c r="I864" s="1"/>
    </row>
    <row r="865" spans="4:9" ht="15.75" customHeight="1" x14ac:dyDescent="0.25">
      <c r="D865" s="1"/>
      <c r="E865" s="1"/>
      <c r="F865" s="1"/>
      <c r="G865" s="1"/>
      <c r="H865" s="1"/>
      <c r="I865" s="1"/>
    </row>
    <row r="866" spans="4:9" ht="15.75" customHeight="1" x14ac:dyDescent="0.25">
      <c r="D866" s="1"/>
      <c r="E866" s="1"/>
      <c r="F866" s="1"/>
      <c r="G866" s="1"/>
      <c r="H866" s="1"/>
      <c r="I866" s="1"/>
    </row>
    <row r="867" spans="4:9" ht="15.75" customHeight="1" x14ac:dyDescent="0.25">
      <c r="D867" s="1"/>
      <c r="E867" s="1"/>
      <c r="F867" s="1"/>
      <c r="G867" s="1"/>
      <c r="H867" s="1"/>
      <c r="I867" s="1"/>
    </row>
    <row r="868" spans="4:9" ht="15.75" customHeight="1" x14ac:dyDescent="0.25">
      <c r="D868" s="1"/>
      <c r="E868" s="1"/>
      <c r="F868" s="1"/>
      <c r="G868" s="1"/>
      <c r="H868" s="1"/>
      <c r="I868" s="1"/>
    </row>
    <row r="869" spans="4:9" ht="15.75" customHeight="1" x14ac:dyDescent="0.25">
      <c r="D869" s="1"/>
      <c r="E869" s="1"/>
      <c r="F869" s="1"/>
      <c r="G869" s="1"/>
      <c r="H869" s="1"/>
      <c r="I869" s="1"/>
    </row>
    <row r="870" spans="4:9" ht="15.75" customHeight="1" x14ac:dyDescent="0.25">
      <c r="D870" s="1"/>
      <c r="E870" s="1"/>
      <c r="F870" s="1"/>
      <c r="G870" s="1"/>
      <c r="H870" s="1"/>
      <c r="I870" s="1"/>
    </row>
    <row r="871" spans="4:9" ht="15.75" customHeight="1" x14ac:dyDescent="0.25">
      <c r="D871" s="1"/>
      <c r="E871" s="1"/>
      <c r="F871" s="1"/>
      <c r="G871" s="1"/>
      <c r="H871" s="1"/>
      <c r="I871" s="1"/>
    </row>
    <row r="872" spans="4:9" ht="15.75" customHeight="1" x14ac:dyDescent="0.25">
      <c r="D872" s="1"/>
      <c r="E872" s="1"/>
      <c r="F872" s="1"/>
      <c r="G872" s="1"/>
      <c r="H872" s="1"/>
      <c r="I872" s="1"/>
    </row>
    <row r="873" spans="4:9" ht="15.75" customHeight="1" x14ac:dyDescent="0.25">
      <c r="D873" s="1"/>
      <c r="E873" s="1"/>
      <c r="F873" s="1"/>
      <c r="G873" s="1"/>
      <c r="H873" s="1"/>
      <c r="I873" s="1"/>
    </row>
    <row r="874" spans="4:9" ht="15.75" customHeight="1" x14ac:dyDescent="0.25">
      <c r="D874" s="1"/>
      <c r="E874" s="1"/>
      <c r="F874" s="1"/>
      <c r="G874" s="1"/>
      <c r="H874" s="1"/>
      <c r="I874" s="1"/>
    </row>
    <row r="875" spans="4:9" ht="15.75" customHeight="1" x14ac:dyDescent="0.25">
      <c r="D875" s="1"/>
      <c r="E875" s="1"/>
      <c r="F875" s="1"/>
      <c r="G875" s="1"/>
      <c r="H875" s="1"/>
      <c r="I875" s="1"/>
    </row>
    <row r="876" spans="4:9" ht="15.75" customHeight="1" x14ac:dyDescent="0.25">
      <c r="D876" s="1"/>
      <c r="E876" s="1"/>
      <c r="F876" s="1"/>
      <c r="G876" s="1"/>
      <c r="H876" s="1"/>
      <c r="I876" s="1"/>
    </row>
    <row r="877" spans="4:9" ht="15.75" customHeight="1" x14ac:dyDescent="0.25">
      <c r="D877" s="1"/>
      <c r="E877" s="1"/>
      <c r="F877" s="1"/>
      <c r="G877" s="1"/>
      <c r="H877" s="1"/>
      <c r="I877" s="1"/>
    </row>
    <row r="878" spans="4:9" ht="15.75" customHeight="1" x14ac:dyDescent="0.25">
      <c r="D878" s="1"/>
      <c r="E878" s="1"/>
      <c r="F878" s="1"/>
      <c r="G878" s="1"/>
      <c r="H878" s="1"/>
      <c r="I878" s="1"/>
    </row>
    <row r="879" spans="4:9" ht="15.75" customHeight="1" x14ac:dyDescent="0.25">
      <c r="D879" s="1"/>
      <c r="E879" s="1"/>
      <c r="F879" s="1"/>
      <c r="G879" s="1"/>
      <c r="H879" s="1"/>
      <c r="I879" s="1"/>
    </row>
    <row r="880" spans="4:9" ht="15.75" customHeight="1" x14ac:dyDescent="0.25">
      <c r="D880" s="1"/>
      <c r="E880" s="1"/>
      <c r="F880" s="1"/>
      <c r="G880" s="1"/>
      <c r="H880" s="1"/>
      <c r="I880" s="1"/>
    </row>
    <row r="881" spans="4:9" ht="15.75" customHeight="1" x14ac:dyDescent="0.25">
      <c r="D881" s="1"/>
      <c r="E881" s="1"/>
      <c r="F881" s="1"/>
      <c r="G881" s="1"/>
      <c r="H881" s="1"/>
      <c r="I881" s="1"/>
    </row>
    <row r="882" spans="4:9" ht="15.75" customHeight="1" x14ac:dyDescent="0.25">
      <c r="D882" s="1"/>
      <c r="E882" s="1"/>
      <c r="F882" s="1"/>
      <c r="G882" s="1"/>
      <c r="H882" s="1"/>
      <c r="I882" s="1"/>
    </row>
    <row r="883" spans="4:9" ht="15.75" customHeight="1" x14ac:dyDescent="0.25">
      <c r="D883" s="1"/>
      <c r="E883" s="1"/>
      <c r="F883" s="1"/>
      <c r="G883" s="1"/>
      <c r="H883" s="1"/>
      <c r="I883" s="1"/>
    </row>
    <row r="884" spans="4:9" ht="15.75" customHeight="1" x14ac:dyDescent="0.25">
      <c r="D884" s="1"/>
      <c r="E884" s="1"/>
      <c r="F884" s="1"/>
      <c r="G884" s="1"/>
      <c r="H884" s="1"/>
      <c r="I884" s="1"/>
    </row>
    <row r="885" spans="4:9" ht="15.75" customHeight="1" x14ac:dyDescent="0.25">
      <c r="D885" s="1"/>
      <c r="E885" s="1"/>
      <c r="F885" s="1"/>
      <c r="G885" s="1"/>
      <c r="H885" s="1"/>
      <c r="I885" s="1"/>
    </row>
    <row r="886" spans="4:9" ht="15.75" customHeight="1" x14ac:dyDescent="0.25">
      <c r="D886" s="1"/>
      <c r="E886" s="1"/>
      <c r="F886" s="1"/>
      <c r="G886" s="1"/>
      <c r="H886" s="1"/>
      <c r="I886" s="1"/>
    </row>
    <row r="887" spans="4:9" ht="15.75" customHeight="1" x14ac:dyDescent="0.25">
      <c r="D887" s="1"/>
      <c r="E887" s="1"/>
      <c r="F887" s="1"/>
      <c r="G887" s="1"/>
      <c r="H887" s="1"/>
      <c r="I887" s="1"/>
    </row>
    <row r="888" spans="4:9" ht="15.75" customHeight="1" x14ac:dyDescent="0.25">
      <c r="D888" s="1"/>
      <c r="E888" s="1"/>
      <c r="F888" s="1"/>
      <c r="G888" s="1"/>
      <c r="H888" s="1"/>
      <c r="I888" s="1"/>
    </row>
    <row r="889" spans="4:9" ht="15.75" customHeight="1" x14ac:dyDescent="0.25">
      <c r="D889" s="1"/>
      <c r="E889" s="1"/>
      <c r="F889" s="1"/>
      <c r="G889" s="1"/>
      <c r="H889" s="1"/>
      <c r="I889" s="1"/>
    </row>
    <row r="890" spans="4:9" ht="15.75" customHeight="1" x14ac:dyDescent="0.25">
      <c r="D890" s="1"/>
      <c r="E890" s="1"/>
      <c r="F890" s="1"/>
      <c r="G890" s="1"/>
      <c r="H890" s="1"/>
      <c r="I890" s="1"/>
    </row>
    <row r="891" spans="4:9" ht="15.75" customHeight="1" x14ac:dyDescent="0.25">
      <c r="D891" s="1"/>
      <c r="E891" s="1"/>
      <c r="F891" s="1"/>
      <c r="G891" s="1"/>
      <c r="H891" s="1"/>
      <c r="I891" s="1"/>
    </row>
    <row r="892" spans="4:9" ht="15.75" customHeight="1" x14ac:dyDescent="0.25">
      <c r="D892" s="1"/>
      <c r="E892" s="1"/>
      <c r="F892" s="1"/>
      <c r="G892" s="1"/>
      <c r="H892" s="1"/>
      <c r="I892" s="1"/>
    </row>
    <row r="893" spans="4:9" ht="15.75" customHeight="1" x14ac:dyDescent="0.25">
      <c r="D893" s="1"/>
      <c r="E893" s="1"/>
      <c r="F893" s="1"/>
      <c r="G893" s="1"/>
      <c r="H893" s="1"/>
      <c r="I893" s="1"/>
    </row>
    <row r="894" spans="4:9" ht="15.75" customHeight="1" x14ac:dyDescent="0.25">
      <c r="D894" s="1"/>
      <c r="E894" s="1"/>
      <c r="F894" s="1"/>
      <c r="G894" s="1"/>
      <c r="H894" s="1"/>
      <c r="I894" s="1"/>
    </row>
    <row r="895" spans="4:9" ht="15.75" customHeight="1" x14ac:dyDescent="0.25">
      <c r="D895" s="1"/>
      <c r="E895" s="1"/>
      <c r="F895" s="1"/>
      <c r="G895" s="1"/>
      <c r="H895" s="1"/>
      <c r="I895" s="1"/>
    </row>
    <row r="896" spans="4:9" ht="15.75" customHeight="1" x14ac:dyDescent="0.25">
      <c r="D896" s="1"/>
      <c r="E896" s="1"/>
      <c r="F896" s="1"/>
      <c r="G896" s="1"/>
      <c r="H896" s="1"/>
      <c r="I896" s="1"/>
    </row>
    <row r="897" spans="4:9" ht="15.75" customHeight="1" x14ac:dyDescent="0.25">
      <c r="D897" s="1"/>
      <c r="E897" s="1"/>
      <c r="F897" s="1"/>
      <c r="G897" s="1"/>
      <c r="H897" s="1"/>
      <c r="I897" s="1"/>
    </row>
    <row r="898" spans="4:9" ht="15.75" customHeight="1" x14ac:dyDescent="0.25">
      <c r="D898" s="1"/>
      <c r="E898" s="1"/>
      <c r="F898" s="1"/>
      <c r="G898" s="1"/>
      <c r="H898" s="1"/>
      <c r="I898" s="1"/>
    </row>
    <row r="899" spans="4:9" ht="15.75" customHeight="1" x14ac:dyDescent="0.25">
      <c r="D899" s="1"/>
      <c r="E899" s="1"/>
      <c r="F899" s="1"/>
      <c r="G899" s="1"/>
      <c r="H899" s="1"/>
      <c r="I899" s="1"/>
    </row>
    <row r="900" spans="4:9" ht="15.75" customHeight="1" x14ac:dyDescent="0.25">
      <c r="D900" s="1"/>
      <c r="E900" s="1"/>
      <c r="F900" s="1"/>
      <c r="G900" s="1"/>
      <c r="H900" s="1"/>
      <c r="I900" s="1"/>
    </row>
    <row r="901" spans="4:9" ht="15.75" customHeight="1" x14ac:dyDescent="0.25">
      <c r="D901" s="1"/>
      <c r="E901" s="1"/>
      <c r="F901" s="1"/>
      <c r="G901" s="1"/>
      <c r="H901" s="1"/>
      <c r="I901" s="1"/>
    </row>
    <row r="902" spans="4:9" ht="15.75" customHeight="1" x14ac:dyDescent="0.25">
      <c r="D902" s="1"/>
      <c r="E902" s="1"/>
      <c r="F902" s="1"/>
      <c r="G902" s="1"/>
      <c r="H902" s="1"/>
      <c r="I902" s="1"/>
    </row>
    <row r="903" spans="4:9" ht="15.75" customHeight="1" x14ac:dyDescent="0.25">
      <c r="D903" s="1"/>
      <c r="E903" s="1"/>
      <c r="F903" s="1"/>
      <c r="G903" s="1"/>
      <c r="H903" s="1"/>
      <c r="I903" s="1"/>
    </row>
    <row r="904" spans="4:9" ht="15.75" customHeight="1" x14ac:dyDescent="0.25">
      <c r="D904" s="1"/>
      <c r="E904" s="1"/>
      <c r="F904" s="1"/>
      <c r="G904" s="1"/>
      <c r="H904" s="1"/>
      <c r="I904" s="1"/>
    </row>
    <row r="905" spans="4:9" ht="15.75" customHeight="1" x14ac:dyDescent="0.25">
      <c r="D905" s="1"/>
      <c r="E905" s="1"/>
      <c r="F905" s="1"/>
      <c r="G905" s="1"/>
      <c r="H905" s="1"/>
      <c r="I905" s="1"/>
    </row>
    <row r="906" spans="4:9" ht="15.75" customHeight="1" x14ac:dyDescent="0.25">
      <c r="D906" s="1"/>
      <c r="E906" s="1"/>
      <c r="F906" s="1"/>
      <c r="G906" s="1"/>
      <c r="H906" s="1"/>
      <c r="I906" s="1"/>
    </row>
    <row r="907" spans="4:9" ht="15.75" customHeight="1" x14ac:dyDescent="0.25">
      <c r="D907" s="1"/>
      <c r="E907" s="1"/>
      <c r="F907" s="1"/>
      <c r="G907" s="1"/>
      <c r="H907" s="1"/>
      <c r="I907" s="1"/>
    </row>
    <row r="908" spans="4:9" ht="15.75" customHeight="1" x14ac:dyDescent="0.25">
      <c r="D908" s="1"/>
      <c r="E908" s="1"/>
      <c r="F908" s="1"/>
      <c r="G908" s="1"/>
      <c r="H908" s="1"/>
      <c r="I908" s="1"/>
    </row>
    <row r="909" spans="4:9" ht="15.75" customHeight="1" x14ac:dyDescent="0.25">
      <c r="D909" s="1"/>
      <c r="E909" s="1"/>
      <c r="F909" s="1"/>
      <c r="G909" s="1"/>
      <c r="H909" s="1"/>
      <c r="I909" s="1"/>
    </row>
    <row r="910" spans="4:9" ht="15.75" customHeight="1" x14ac:dyDescent="0.25">
      <c r="D910" s="1"/>
      <c r="E910" s="1"/>
      <c r="F910" s="1"/>
      <c r="G910" s="1"/>
      <c r="H910" s="1"/>
      <c r="I910" s="1"/>
    </row>
    <row r="911" spans="4:9" ht="15.75" customHeight="1" x14ac:dyDescent="0.25">
      <c r="D911" s="1"/>
      <c r="E911" s="1"/>
      <c r="F911" s="1"/>
      <c r="G911" s="1"/>
      <c r="H911" s="1"/>
      <c r="I911" s="1"/>
    </row>
    <row r="912" spans="4:9" ht="15.75" customHeight="1" x14ac:dyDescent="0.25">
      <c r="D912" s="1"/>
      <c r="E912" s="1"/>
      <c r="F912" s="1"/>
      <c r="G912" s="1"/>
      <c r="H912" s="1"/>
      <c r="I912" s="1"/>
    </row>
    <row r="913" spans="4:9" ht="15.75" customHeight="1" x14ac:dyDescent="0.25">
      <c r="D913" s="1"/>
      <c r="E913" s="1"/>
      <c r="F913" s="1"/>
      <c r="G913" s="1"/>
      <c r="H913" s="1"/>
      <c r="I913" s="1"/>
    </row>
    <row r="914" spans="4:9" ht="15.75" customHeight="1" x14ac:dyDescent="0.25">
      <c r="D914" s="1"/>
      <c r="E914" s="1"/>
      <c r="F914" s="1"/>
      <c r="G914" s="1"/>
      <c r="H914" s="1"/>
      <c r="I914" s="1"/>
    </row>
    <row r="915" spans="4:9" ht="15.75" customHeight="1" x14ac:dyDescent="0.25">
      <c r="D915" s="1"/>
      <c r="E915" s="1"/>
      <c r="F915" s="1"/>
      <c r="G915" s="1"/>
      <c r="H915" s="1"/>
      <c r="I915" s="1"/>
    </row>
    <row r="916" spans="4:9" ht="15.75" customHeight="1" x14ac:dyDescent="0.25">
      <c r="D916" s="1"/>
      <c r="E916" s="1"/>
      <c r="F916" s="1"/>
      <c r="G916" s="1"/>
      <c r="H916" s="1"/>
      <c r="I916" s="1"/>
    </row>
    <row r="917" spans="4:9" ht="15.75" customHeight="1" x14ac:dyDescent="0.25">
      <c r="D917" s="1"/>
      <c r="E917" s="1"/>
      <c r="F917" s="1"/>
      <c r="G917" s="1"/>
      <c r="H917" s="1"/>
      <c r="I917" s="1"/>
    </row>
    <row r="918" spans="4:9" ht="15.75" customHeight="1" x14ac:dyDescent="0.25">
      <c r="D918" s="1"/>
      <c r="E918" s="1"/>
      <c r="F918" s="1"/>
      <c r="G918" s="1"/>
      <c r="H918" s="1"/>
      <c r="I918" s="1"/>
    </row>
    <row r="919" spans="4:9" ht="15.75" customHeight="1" x14ac:dyDescent="0.25">
      <c r="D919" s="1"/>
      <c r="E919" s="1"/>
      <c r="F919" s="1"/>
      <c r="G919" s="1"/>
      <c r="H919" s="1"/>
      <c r="I919" s="1"/>
    </row>
    <row r="920" spans="4:9" ht="15.75" customHeight="1" x14ac:dyDescent="0.25">
      <c r="D920" s="1"/>
      <c r="E920" s="1"/>
      <c r="F920" s="1"/>
      <c r="G920" s="1"/>
      <c r="H920" s="1"/>
      <c r="I920" s="1"/>
    </row>
    <row r="921" spans="4:9" ht="15.75" customHeight="1" x14ac:dyDescent="0.25">
      <c r="D921" s="1"/>
      <c r="E921" s="1"/>
      <c r="F921" s="1"/>
      <c r="G921" s="1"/>
      <c r="H921" s="1"/>
      <c r="I921" s="1"/>
    </row>
    <row r="922" spans="4:9" ht="15.75" customHeight="1" x14ac:dyDescent="0.25">
      <c r="D922" s="1"/>
      <c r="E922" s="1"/>
      <c r="F922" s="1"/>
      <c r="G922" s="1"/>
      <c r="H922" s="1"/>
      <c r="I922" s="1"/>
    </row>
    <row r="923" spans="4:9" ht="15.75" customHeight="1" x14ac:dyDescent="0.25">
      <c r="D923" s="1"/>
      <c r="E923" s="1"/>
      <c r="F923" s="1"/>
      <c r="G923" s="1"/>
      <c r="H923" s="1"/>
      <c r="I923" s="1"/>
    </row>
    <row r="924" spans="4:9" ht="15.75" customHeight="1" x14ac:dyDescent="0.25">
      <c r="D924" s="1"/>
      <c r="E924" s="1"/>
      <c r="F924" s="1"/>
      <c r="G924" s="1"/>
      <c r="H924" s="1"/>
      <c r="I924" s="1"/>
    </row>
    <row r="925" spans="4:9" ht="15.75" customHeight="1" x14ac:dyDescent="0.25">
      <c r="D925" s="1"/>
      <c r="E925" s="1"/>
      <c r="F925" s="1"/>
      <c r="G925" s="1"/>
      <c r="H925" s="1"/>
      <c r="I925" s="1"/>
    </row>
    <row r="926" spans="4:9" ht="15.75" customHeight="1" x14ac:dyDescent="0.25">
      <c r="D926" s="1"/>
      <c r="E926" s="1"/>
      <c r="F926" s="1"/>
      <c r="G926" s="1"/>
      <c r="H926" s="1"/>
      <c r="I926" s="1"/>
    </row>
    <row r="927" spans="4:9" ht="15.75" customHeight="1" x14ac:dyDescent="0.25">
      <c r="D927" s="1"/>
      <c r="E927" s="1"/>
      <c r="F927" s="1"/>
      <c r="G927" s="1"/>
      <c r="H927" s="1"/>
      <c r="I927" s="1"/>
    </row>
    <row r="928" spans="4:9" ht="15.75" customHeight="1" x14ac:dyDescent="0.25">
      <c r="D928" s="1"/>
      <c r="E928" s="1"/>
      <c r="F928" s="1"/>
      <c r="G928" s="1"/>
      <c r="H928" s="1"/>
      <c r="I928" s="1"/>
    </row>
    <row r="929" spans="4:9" ht="15.75" customHeight="1" x14ac:dyDescent="0.25">
      <c r="D929" s="1"/>
      <c r="E929" s="1"/>
      <c r="F929" s="1"/>
      <c r="G929" s="1"/>
      <c r="H929" s="1"/>
      <c r="I929" s="1"/>
    </row>
    <row r="930" spans="4:9" ht="15.75" customHeight="1" x14ac:dyDescent="0.25">
      <c r="D930" s="1"/>
      <c r="E930" s="1"/>
      <c r="F930" s="1"/>
      <c r="G930" s="1"/>
      <c r="H930" s="1"/>
      <c r="I930" s="1"/>
    </row>
    <row r="931" spans="4:9" ht="15.75" customHeight="1" x14ac:dyDescent="0.25">
      <c r="D931" s="1"/>
      <c r="E931" s="1"/>
      <c r="F931" s="1"/>
      <c r="G931" s="1"/>
      <c r="H931" s="1"/>
      <c r="I931" s="1"/>
    </row>
    <row r="932" spans="4:9" ht="15.75" customHeight="1" x14ac:dyDescent="0.25">
      <c r="D932" s="1"/>
      <c r="E932" s="1"/>
      <c r="F932" s="1"/>
      <c r="G932" s="1"/>
      <c r="H932" s="1"/>
      <c r="I932" s="1"/>
    </row>
    <row r="933" spans="4:9" ht="15.75" customHeight="1" x14ac:dyDescent="0.25">
      <c r="D933" s="1"/>
      <c r="E933" s="1"/>
      <c r="F933" s="1"/>
      <c r="G933" s="1"/>
      <c r="H933" s="1"/>
      <c r="I933" s="1"/>
    </row>
    <row r="934" spans="4:9" ht="15.75" customHeight="1" x14ac:dyDescent="0.25">
      <c r="D934" s="1"/>
      <c r="E934" s="1"/>
      <c r="F934" s="1"/>
      <c r="G934" s="1"/>
      <c r="H934" s="1"/>
      <c r="I934" s="1"/>
    </row>
    <row r="935" spans="4:9" ht="15.75" customHeight="1" x14ac:dyDescent="0.25">
      <c r="D935" s="1"/>
      <c r="E935" s="1"/>
      <c r="F935" s="1"/>
      <c r="G935" s="1"/>
      <c r="H935" s="1"/>
      <c r="I935" s="1"/>
    </row>
    <row r="936" spans="4:9" ht="15.75" customHeight="1" x14ac:dyDescent="0.25">
      <c r="D936" s="1"/>
      <c r="E936" s="1"/>
      <c r="F936" s="1"/>
      <c r="G936" s="1"/>
      <c r="H936" s="1"/>
      <c r="I936" s="1"/>
    </row>
    <row r="937" spans="4:9" ht="15.75" customHeight="1" x14ac:dyDescent="0.25">
      <c r="D937" s="1"/>
      <c r="E937" s="1"/>
      <c r="F937" s="1"/>
      <c r="G937" s="1"/>
      <c r="H937" s="1"/>
      <c r="I937" s="1"/>
    </row>
    <row r="938" spans="4:9" ht="15.75" customHeight="1" x14ac:dyDescent="0.25">
      <c r="D938" s="1"/>
      <c r="E938" s="1"/>
      <c r="F938" s="1"/>
      <c r="G938" s="1"/>
      <c r="H938" s="1"/>
      <c r="I938" s="1"/>
    </row>
    <row r="939" spans="4:9" ht="15.75" customHeight="1" x14ac:dyDescent="0.25">
      <c r="D939" s="1"/>
      <c r="E939" s="1"/>
      <c r="F939" s="1"/>
      <c r="G939" s="1"/>
      <c r="H939" s="1"/>
      <c r="I939" s="1"/>
    </row>
    <row r="940" spans="4:9" ht="15.75" customHeight="1" x14ac:dyDescent="0.25">
      <c r="D940" s="1"/>
      <c r="E940" s="1"/>
      <c r="F940" s="1"/>
      <c r="G940" s="1"/>
      <c r="H940" s="1"/>
      <c r="I940" s="1"/>
    </row>
    <row r="941" spans="4:9" ht="15.75" customHeight="1" x14ac:dyDescent="0.25">
      <c r="D941" s="1"/>
      <c r="E941" s="1"/>
      <c r="F941" s="1"/>
      <c r="G941" s="1"/>
      <c r="H941" s="1"/>
      <c r="I941" s="1"/>
    </row>
    <row r="942" spans="4:9" ht="15.75" customHeight="1" x14ac:dyDescent="0.25">
      <c r="D942" s="1"/>
      <c r="E942" s="1"/>
      <c r="F942" s="1"/>
      <c r="G942" s="1"/>
      <c r="H942" s="1"/>
      <c r="I942" s="1"/>
    </row>
    <row r="943" spans="4:9" ht="15.75" customHeight="1" x14ac:dyDescent="0.25">
      <c r="D943" s="1"/>
      <c r="E943" s="1"/>
      <c r="F943" s="1"/>
      <c r="G943" s="1"/>
      <c r="H943" s="1"/>
      <c r="I943" s="1"/>
    </row>
    <row r="944" spans="4:9" ht="15.75" customHeight="1" x14ac:dyDescent="0.25">
      <c r="D944" s="1"/>
      <c r="E944" s="1"/>
      <c r="F944" s="1"/>
      <c r="G944" s="1"/>
      <c r="H944" s="1"/>
      <c r="I944" s="1"/>
    </row>
    <row r="945" spans="4:9" ht="15.75" customHeight="1" x14ac:dyDescent="0.25">
      <c r="D945" s="1"/>
      <c r="E945" s="1"/>
      <c r="F945" s="1"/>
      <c r="G945" s="1"/>
      <c r="H945" s="1"/>
      <c r="I945" s="1"/>
    </row>
    <row r="946" spans="4:9" ht="15.75" customHeight="1" x14ac:dyDescent="0.25">
      <c r="D946" s="1"/>
      <c r="E946" s="1"/>
      <c r="F946" s="1"/>
      <c r="G946" s="1"/>
      <c r="H946" s="1"/>
      <c r="I946" s="1"/>
    </row>
    <row r="947" spans="4:9" ht="15.75" customHeight="1" x14ac:dyDescent="0.25">
      <c r="D947" s="1"/>
      <c r="E947" s="1"/>
      <c r="F947" s="1"/>
      <c r="G947" s="1"/>
      <c r="H947" s="1"/>
      <c r="I947" s="1"/>
    </row>
    <row r="948" spans="4:9" ht="15.75" customHeight="1" x14ac:dyDescent="0.25">
      <c r="D948" s="1"/>
      <c r="E948" s="1"/>
      <c r="F948" s="1"/>
      <c r="G948" s="1"/>
      <c r="H948" s="1"/>
      <c r="I948" s="1"/>
    </row>
    <row r="949" spans="4:9" ht="15.75" customHeight="1" x14ac:dyDescent="0.25">
      <c r="D949" s="1"/>
      <c r="E949" s="1"/>
      <c r="F949" s="1"/>
      <c r="G949" s="1"/>
      <c r="H949" s="1"/>
      <c r="I949" s="1"/>
    </row>
    <row r="950" spans="4:9" ht="15.75" customHeight="1" x14ac:dyDescent="0.25">
      <c r="D950" s="1"/>
      <c r="E950" s="1"/>
      <c r="F950" s="1"/>
      <c r="G950" s="1"/>
      <c r="H950" s="1"/>
      <c r="I950" s="1"/>
    </row>
    <row r="951" spans="4:9" ht="15.75" customHeight="1" x14ac:dyDescent="0.25">
      <c r="D951" s="1"/>
      <c r="E951" s="1"/>
      <c r="F951" s="1"/>
      <c r="G951" s="1"/>
      <c r="H951" s="1"/>
      <c r="I951" s="1"/>
    </row>
    <row r="952" spans="4:9" ht="15.75" customHeight="1" x14ac:dyDescent="0.25">
      <c r="D952" s="1"/>
      <c r="E952" s="1"/>
      <c r="F952" s="1"/>
      <c r="G952" s="1"/>
      <c r="H952" s="1"/>
      <c r="I952" s="1"/>
    </row>
    <row r="953" spans="4:9" ht="15.75" customHeight="1" x14ac:dyDescent="0.25">
      <c r="D953" s="1"/>
      <c r="E953" s="1"/>
      <c r="F953" s="1"/>
      <c r="G953" s="1"/>
      <c r="H953" s="1"/>
      <c r="I953" s="1"/>
    </row>
    <row r="954" spans="4:9" ht="15.75" customHeight="1" x14ac:dyDescent="0.25">
      <c r="D954" s="1"/>
      <c r="E954" s="1"/>
      <c r="F954" s="1"/>
      <c r="G954" s="1"/>
      <c r="H954" s="1"/>
      <c r="I954" s="1"/>
    </row>
    <row r="955" spans="4:9" ht="15.75" customHeight="1" x14ac:dyDescent="0.25">
      <c r="D955" s="1"/>
      <c r="E955" s="1"/>
      <c r="F955" s="1"/>
      <c r="G955" s="1"/>
      <c r="H955" s="1"/>
      <c r="I955" s="1"/>
    </row>
    <row r="956" spans="4:9" ht="15.75" customHeight="1" x14ac:dyDescent="0.25">
      <c r="D956" s="1"/>
      <c r="E956" s="1"/>
      <c r="F956" s="1"/>
      <c r="G956" s="1"/>
      <c r="H956" s="1"/>
      <c r="I956" s="1"/>
    </row>
    <row r="957" spans="4:9" ht="15.75" customHeight="1" x14ac:dyDescent="0.25">
      <c r="D957" s="1"/>
      <c r="E957" s="1"/>
      <c r="F957" s="1"/>
      <c r="G957" s="1"/>
      <c r="H957" s="1"/>
      <c r="I957" s="1"/>
    </row>
    <row r="958" spans="4:9" ht="15.75" customHeight="1" x14ac:dyDescent="0.25">
      <c r="D958" s="1"/>
      <c r="E958" s="1"/>
      <c r="F958" s="1"/>
      <c r="G958" s="1"/>
      <c r="H958" s="1"/>
      <c r="I958" s="1"/>
    </row>
    <row r="959" spans="4:9" ht="15.75" customHeight="1" x14ac:dyDescent="0.25">
      <c r="D959" s="1"/>
      <c r="E959" s="1"/>
      <c r="F959" s="1"/>
      <c r="G959" s="1"/>
      <c r="H959" s="1"/>
      <c r="I959" s="1"/>
    </row>
    <row r="960" spans="4:9" ht="15.75" customHeight="1" x14ac:dyDescent="0.25">
      <c r="D960" s="1"/>
      <c r="E960" s="1"/>
      <c r="F960" s="1"/>
      <c r="G960" s="1"/>
      <c r="H960" s="1"/>
      <c r="I960" s="1"/>
    </row>
    <row r="961" spans="4:9" ht="15.75" customHeight="1" x14ac:dyDescent="0.25">
      <c r="D961" s="1"/>
      <c r="E961" s="1"/>
      <c r="F961" s="1"/>
      <c r="G961" s="1"/>
      <c r="H961" s="1"/>
      <c r="I961" s="1"/>
    </row>
    <row r="962" spans="4:9" ht="15.75" customHeight="1" x14ac:dyDescent="0.25">
      <c r="D962" s="1"/>
      <c r="E962" s="1"/>
      <c r="F962" s="1"/>
      <c r="G962" s="1"/>
      <c r="H962" s="1"/>
      <c r="I962" s="1"/>
    </row>
    <row r="963" spans="4:9" ht="15.75" customHeight="1" x14ac:dyDescent="0.25">
      <c r="D963" s="1"/>
      <c r="E963" s="1"/>
      <c r="F963" s="1"/>
      <c r="G963" s="1"/>
      <c r="H963" s="1"/>
      <c r="I963" s="1"/>
    </row>
    <row r="964" spans="4:9" ht="15.75" customHeight="1" x14ac:dyDescent="0.25">
      <c r="D964" s="1"/>
      <c r="E964" s="1"/>
      <c r="F964" s="1"/>
      <c r="G964" s="1"/>
      <c r="H964" s="1"/>
      <c r="I964" s="1"/>
    </row>
    <row r="965" spans="4:9" ht="15.75" customHeight="1" x14ac:dyDescent="0.25">
      <c r="D965" s="1"/>
      <c r="E965" s="1"/>
      <c r="F965" s="1"/>
      <c r="G965" s="1"/>
      <c r="H965" s="1"/>
      <c r="I965" s="1"/>
    </row>
    <row r="966" spans="4:9" ht="15.75" customHeight="1" x14ac:dyDescent="0.25">
      <c r="D966" s="1"/>
      <c r="E966" s="1"/>
      <c r="F966" s="1"/>
      <c r="G966" s="1"/>
      <c r="H966" s="1"/>
      <c r="I966" s="1"/>
    </row>
    <row r="967" spans="4:9" ht="15.75" customHeight="1" x14ac:dyDescent="0.25">
      <c r="D967" s="1"/>
      <c r="E967" s="1"/>
      <c r="F967" s="1"/>
      <c r="G967" s="1"/>
      <c r="H967" s="1"/>
      <c r="I967" s="1"/>
    </row>
    <row r="968" spans="4:9" ht="15.75" customHeight="1" x14ac:dyDescent="0.25">
      <c r="D968" s="1"/>
      <c r="E968" s="1"/>
      <c r="F968" s="1"/>
      <c r="G968" s="1"/>
      <c r="H968" s="1"/>
      <c r="I968" s="1"/>
    </row>
    <row r="969" spans="4:9" ht="15.75" customHeight="1" x14ac:dyDescent="0.25">
      <c r="D969" s="1"/>
      <c r="E969" s="1"/>
      <c r="F969" s="1"/>
      <c r="G969" s="1"/>
      <c r="H969" s="1"/>
      <c r="I969" s="1"/>
    </row>
    <row r="970" spans="4:9" ht="15.75" customHeight="1" x14ac:dyDescent="0.25">
      <c r="D970" s="1"/>
      <c r="E970" s="1"/>
      <c r="F970" s="1"/>
      <c r="G970" s="1"/>
      <c r="H970" s="1"/>
      <c r="I970" s="1"/>
    </row>
    <row r="971" spans="4:9" ht="15.75" customHeight="1" x14ac:dyDescent="0.25">
      <c r="D971" s="1"/>
      <c r="E971" s="1"/>
      <c r="F971" s="1"/>
      <c r="G971" s="1"/>
      <c r="H971" s="1"/>
      <c r="I971" s="1"/>
    </row>
    <row r="972" spans="4:9" ht="15.75" customHeight="1" x14ac:dyDescent="0.25">
      <c r="D972" s="1"/>
      <c r="E972" s="1"/>
      <c r="F972" s="1"/>
      <c r="G972" s="1"/>
      <c r="H972" s="1"/>
      <c r="I972" s="1"/>
    </row>
    <row r="973" spans="4:9" ht="15.75" customHeight="1" x14ac:dyDescent="0.25">
      <c r="D973" s="1"/>
      <c r="E973" s="1"/>
      <c r="F973" s="1"/>
      <c r="G973" s="1"/>
      <c r="H973" s="1"/>
      <c r="I973" s="1"/>
    </row>
    <row r="974" spans="4:9" ht="15.75" customHeight="1" x14ac:dyDescent="0.25">
      <c r="D974" s="1"/>
      <c r="E974" s="1"/>
      <c r="F974" s="1"/>
      <c r="G974" s="1"/>
      <c r="H974" s="1"/>
      <c r="I974" s="1"/>
    </row>
    <row r="975" spans="4:9" ht="15.75" customHeight="1" x14ac:dyDescent="0.25">
      <c r="D975" s="1"/>
      <c r="E975" s="1"/>
      <c r="F975" s="1"/>
      <c r="G975" s="1"/>
      <c r="H975" s="1"/>
      <c r="I975" s="1"/>
    </row>
    <row r="976" spans="4:9" ht="15.75" customHeight="1" x14ac:dyDescent="0.25">
      <c r="D976" s="1"/>
      <c r="E976" s="1"/>
      <c r="F976" s="1"/>
      <c r="G976" s="1"/>
      <c r="H976" s="1"/>
      <c r="I976" s="1"/>
    </row>
    <row r="977" spans="4:9" ht="15.75" customHeight="1" x14ac:dyDescent="0.25">
      <c r="D977" s="1"/>
      <c r="E977" s="1"/>
      <c r="F977" s="1"/>
      <c r="G977" s="1"/>
      <c r="H977" s="1"/>
      <c r="I977" s="1"/>
    </row>
    <row r="978" spans="4:9" ht="15.75" customHeight="1" x14ac:dyDescent="0.25">
      <c r="D978" s="1"/>
      <c r="E978" s="1"/>
      <c r="F978" s="1"/>
      <c r="G978" s="1"/>
      <c r="H978" s="1"/>
      <c r="I978" s="1"/>
    </row>
    <row r="979" spans="4:9" ht="15.75" customHeight="1" x14ac:dyDescent="0.25">
      <c r="D979" s="1"/>
      <c r="E979" s="1"/>
      <c r="F979" s="1"/>
      <c r="G979" s="1"/>
      <c r="H979" s="1"/>
      <c r="I979" s="1"/>
    </row>
    <row r="980" spans="4:9" ht="15.75" customHeight="1" x14ac:dyDescent="0.25">
      <c r="D980" s="1"/>
      <c r="E980" s="1"/>
      <c r="F980" s="1"/>
      <c r="G980" s="1"/>
      <c r="H980" s="1"/>
      <c r="I980" s="1"/>
    </row>
    <row r="981" spans="4:9" ht="15.75" customHeight="1" x14ac:dyDescent="0.25">
      <c r="D981" s="1"/>
      <c r="E981" s="1"/>
      <c r="F981" s="1"/>
      <c r="G981" s="1"/>
      <c r="H981" s="1"/>
      <c r="I981" s="1"/>
    </row>
    <row r="982" spans="4:9" ht="15.75" customHeight="1" x14ac:dyDescent="0.25">
      <c r="D982" s="1"/>
      <c r="E982" s="1"/>
      <c r="F982" s="1"/>
      <c r="G982" s="1"/>
      <c r="H982" s="1"/>
      <c r="I982" s="1"/>
    </row>
    <row r="983" spans="4:9" ht="15.75" customHeight="1" x14ac:dyDescent="0.25">
      <c r="D983" s="1"/>
      <c r="E983" s="1"/>
      <c r="F983" s="1"/>
      <c r="G983" s="1"/>
      <c r="H983" s="1"/>
      <c r="I983" s="1"/>
    </row>
    <row r="984" spans="4:9" ht="15.75" customHeight="1" x14ac:dyDescent="0.25">
      <c r="D984" s="1"/>
      <c r="E984" s="1"/>
      <c r="F984" s="1"/>
      <c r="G984" s="1"/>
      <c r="H984" s="1"/>
      <c r="I984" s="1"/>
    </row>
    <row r="985" spans="4:9" ht="15.75" customHeight="1" x14ac:dyDescent="0.25">
      <c r="D985" s="1"/>
      <c r="E985" s="1"/>
      <c r="F985" s="1"/>
      <c r="G985" s="1"/>
      <c r="H985" s="1"/>
      <c r="I985" s="1"/>
    </row>
    <row r="986" spans="4:9" ht="15.75" customHeight="1" x14ac:dyDescent="0.25">
      <c r="D986" s="1"/>
      <c r="E986" s="1"/>
      <c r="F986" s="1"/>
      <c r="G986" s="1"/>
      <c r="H986" s="1"/>
      <c r="I986" s="1"/>
    </row>
    <row r="987" spans="4:9" ht="15.75" customHeight="1" x14ac:dyDescent="0.25">
      <c r="D987" s="1"/>
      <c r="E987" s="1"/>
      <c r="F987" s="1"/>
      <c r="G987" s="1"/>
      <c r="H987" s="1"/>
      <c r="I987" s="1"/>
    </row>
    <row r="988" spans="4:9" ht="15.75" customHeight="1" x14ac:dyDescent="0.25">
      <c r="D988" s="1"/>
      <c r="E988" s="1"/>
      <c r="F988" s="1"/>
      <c r="G988" s="1"/>
      <c r="H988" s="1"/>
      <c r="I988" s="1"/>
    </row>
    <row r="989" spans="4:9" ht="15.75" customHeight="1" x14ac:dyDescent="0.25">
      <c r="D989" s="1"/>
      <c r="E989" s="1"/>
      <c r="F989" s="1"/>
      <c r="G989" s="1"/>
      <c r="H989" s="1"/>
      <c r="I989" s="1"/>
    </row>
    <row r="990" spans="4:9" ht="15.75" customHeight="1" x14ac:dyDescent="0.25">
      <c r="D990" s="1"/>
      <c r="E990" s="1"/>
      <c r="F990" s="1"/>
      <c r="G990" s="1"/>
      <c r="H990" s="1"/>
      <c r="I990" s="1"/>
    </row>
    <row r="991" spans="4:9" ht="15.75" customHeight="1" x14ac:dyDescent="0.25">
      <c r="D991" s="1"/>
      <c r="E991" s="1"/>
      <c r="F991" s="1"/>
      <c r="G991" s="1"/>
      <c r="H991" s="1"/>
      <c r="I991" s="1"/>
    </row>
    <row r="992" spans="4:9" ht="15.75" customHeight="1" x14ac:dyDescent="0.25">
      <c r="D992" s="1"/>
      <c r="E992" s="1"/>
      <c r="F992" s="1"/>
      <c r="G992" s="1"/>
      <c r="H992" s="1"/>
      <c r="I992" s="1"/>
    </row>
    <row r="993" spans="4:9" ht="15.75" customHeight="1" x14ac:dyDescent="0.25">
      <c r="D993" s="1"/>
      <c r="E993" s="1"/>
      <c r="F993" s="1"/>
      <c r="G993" s="1"/>
      <c r="H993" s="1"/>
      <c r="I993" s="1"/>
    </row>
    <row r="994" spans="4:9" ht="15.75" customHeight="1" x14ac:dyDescent="0.25">
      <c r="D994" s="1"/>
      <c r="E994" s="1"/>
      <c r="F994" s="1"/>
      <c r="G994" s="1"/>
      <c r="H994" s="1"/>
      <c r="I994" s="1"/>
    </row>
    <row r="995" spans="4:9" ht="15.75" customHeight="1" x14ac:dyDescent="0.25">
      <c r="D995" s="1"/>
      <c r="E995" s="1"/>
      <c r="F995" s="1"/>
      <c r="G995" s="1"/>
      <c r="H995" s="1"/>
      <c r="I995" s="1"/>
    </row>
    <row r="996" spans="4:9" ht="15.75" customHeight="1" x14ac:dyDescent="0.25">
      <c r="D996" s="1"/>
      <c r="E996" s="1"/>
      <c r="F996" s="1"/>
      <c r="G996" s="1"/>
      <c r="H996" s="1"/>
      <c r="I996" s="1"/>
    </row>
    <row r="997" spans="4:9" ht="15.75" customHeight="1" x14ac:dyDescent="0.25">
      <c r="D997" s="1"/>
      <c r="E997" s="1"/>
      <c r="F997" s="1"/>
      <c r="G997" s="1"/>
      <c r="H997" s="1"/>
      <c r="I997" s="1"/>
    </row>
    <row r="998" spans="4:9" ht="15.75" customHeight="1" x14ac:dyDescent="0.25">
      <c r="D998" s="1"/>
      <c r="E998" s="1"/>
      <c r="F998" s="1"/>
      <c r="G998" s="1"/>
      <c r="H998" s="1"/>
      <c r="I998" s="1"/>
    </row>
    <row r="999" spans="4:9" ht="15.75" customHeight="1" x14ac:dyDescent="0.25">
      <c r="D999" s="1"/>
      <c r="E999" s="1"/>
      <c r="F999" s="1"/>
      <c r="G999" s="1"/>
      <c r="H999" s="1"/>
      <c r="I999" s="1"/>
    </row>
    <row r="1000" spans="4:9" ht="15.75" customHeight="1" x14ac:dyDescent="0.25">
      <c r="D1000" s="1"/>
      <c r="E1000" s="1"/>
      <c r="F1000" s="1"/>
      <c r="G1000" s="1"/>
      <c r="H1000" s="1"/>
      <c r="I1000" s="1"/>
    </row>
    <row r="1001" spans="4:9" ht="15.75" customHeight="1" x14ac:dyDescent="0.25">
      <c r="D1001" s="1"/>
      <c r="E1001" s="1"/>
      <c r="F1001" s="1"/>
      <c r="G1001" s="1"/>
      <c r="H1001" s="1"/>
      <c r="I1001" s="1"/>
    </row>
    <row r="1002" spans="4:9" ht="15.75" customHeight="1" x14ac:dyDescent="0.25">
      <c r="D1002" s="1"/>
      <c r="E1002" s="1"/>
      <c r="F1002" s="1"/>
      <c r="G1002" s="1"/>
      <c r="H1002" s="1"/>
      <c r="I1002" s="1"/>
    </row>
    <row r="1003" spans="4:9" ht="15.75" customHeight="1" x14ac:dyDescent="0.25">
      <c r="D1003" s="1"/>
      <c r="E1003" s="1"/>
      <c r="F1003" s="1"/>
      <c r="G1003" s="1"/>
      <c r="H1003" s="1"/>
      <c r="I1003" s="1"/>
    </row>
    <row r="1004" spans="4:9" ht="15.75" customHeight="1" x14ac:dyDescent="0.25">
      <c r="D1004" s="1"/>
      <c r="E1004" s="1"/>
      <c r="F1004" s="1"/>
      <c r="G1004" s="1"/>
      <c r="H1004" s="1"/>
      <c r="I1004" s="1"/>
    </row>
  </sheetData>
  <mergeCells count="1">
    <mergeCell ref="K6:O6"/>
  </mergeCells>
  <phoneticPr fontId="12" type="noConversion"/>
  <pageMargins left="0.59055118110236227" right="0.19685039370078741" top="0.59055118110236227" bottom="0.59055118110236227" header="0" footer="0"/>
  <pageSetup scale="45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baseColWidth="10" defaultColWidth="14.42578125" defaultRowHeight="15" customHeight="1" x14ac:dyDescent="0.25"/>
  <cols>
    <col min="1" max="2" width="10.7109375" customWidth="1"/>
    <col min="3" max="3" width="16.28515625" customWidth="1"/>
    <col min="4" max="4" width="19.5703125" customWidth="1"/>
    <col min="5" max="5" width="20.140625" customWidth="1"/>
    <col min="6" max="6" width="22.85546875" customWidth="1"/>
    <col min="7" max="7" width="22.5703125" customWidth="1"/>
    <col min="8" max="8" width="18.7109375" customWidth="1"/>
  </cols>
  <sheetData>
    <row r="1" spans="1:8" ht="63.75" customHeight="1" x14ac:dyDescent="0.25"/>
    <row r="2" spans="1:8" x14ac:dyDescent="0.25">
      <c r="A2" s="2" t="s">
        <v>155</v>
      </c>
      <c r="B2" s="2" t="s">
        <v>0</v>
      </c>
    </row>
    <row r="3" spans="1:8" x14ac:dyDescent="0.25">
      <c r="A3" s="2" t="s">
        <v>156</v>
      </c>
      <c r="B3" s="2" t="s">
        <v>157</v>
      </c>
    </row>
    <row r="4" spans="1:8" x14ac:dyDescent="0.25">
      <c r="A4" s="2" t="s">
        <v>158</v>
      </c>
      <c r="B4" s="75" t="s">
        <v>159</v>
      </c>
    </row>
    <row r="5" spans="1:8" x14ac:dyDescent="0.25">
      <c r="A5" s="2"/>
      <c r="B5" s="75"/>
    </row>
    <row r="6" spans="1:8" x14ac:dyDescent="0.25">
      <c r="A6" s="2"/>
      <c r="B6" s="75" t="s">
        <v>160</v>
      </c>
      <c r="D6" s="76" t="s">
        <v>161</v>
      </c>
    </row>
    <row r="7" spans="1:8" x14ac:dyDescent="0.25">
      <c r="A7" s="2"/>
      <c r="B7" s="75" t="s">
        <v>162</v>
      </c>
      <c r="D7" s="77">
        <f>250000*2*1.16</f>
        <v>580000</v>
      </c>
    </row>
    <row r="8" spans="1:8" x14ac:dyDescent="0.25">
      <c r="A8" s="2"/>
      <c r="B8" s="75" t="s">
        <v>15</v>
      </c>
      <c r="D8" s="6">
        <f>290000+145000</f>
        <v>435000</v>
      </c>
    </row>
    <row r="9" spans="1:8" x14ac:dyDescent="0.25">
      <c r="A9" s="2"/>
      <c r="B9" s="78" t="s">
        <v>163</v>
      </c>
      <c r="C9" s="79"/>
      <c r="D9" s="80">
        <f>+D7-D8</f>
        <v>145000</v>
      </c>
    </row>
    <row r="10" spans="1:8" x14ac:dyDescent="0.25">
      <c r="A10" s="2"/>
      <c r="B10" s="75" t="s">
        <v>10</v>
      </c>
      <c r="D10" s="65">
        <v>0</v>
      </c>
    </row>
    <row r="11" spans="1:8" x14ac:dyDescent="0.25">
      <c r="A11" s="2"/>
      <c r="B11" s="78" t="s">
        <v>164</v>
      </c>
      <c r="C11" s="79"/>
      <c r="D11" s="80">
        <f>+D9-D10</f>
        <v>145000</v>
      </c>
    </row>
    <row r="13" spans="1:8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21" sqref="C20:C21"/>
    </sheetView>
  </sheetViews>
  <sheetFormatPr baseColWidth="10" defaultColWidth="14.42578125" defaultRowHeight="15" customHeight="1" x14ac:dyDescent="0.25"/>
  <cols>
    <col min="1" max="2" width="10.7109375" customWidth="1"/>
    <col min="3" max="3" width="16.28515625" customWidth="1"/>
    <col min="4" max="4" width="19.5703125" customWidth="1"/>
    <col min="5" max="5" width="23" customWidth="1"/>
    <col min="6" max="6" width="22.85546875" customWidth="1"/>
    <col min="7" max="7" width="22.5703125" customWidth="1"/>
    <col min="8" max="8" width="18.7109375" customWidth="1"/>
    <col min="9" max="26" width="10.7109375" customWidth="1"/>
  </cols>
  <sheetData>
    <row r="1" spans="1:26" ht="65.25" customHeight="1" x14ac:dyDescent="0.25"/>
    <row r="2" spans="1:26" x14ac:dyDescent="0.25">
      <c r="A2" s="2" t="s">
        <v>155</v>
      </c>
      <c r="B2" s="2" t="s">
        <v>0</v>
      </c>
    </row>
    <row r="3" spans="1:26" x14ac:dyDescent="0.25">
      <c r="A3" s="2" t="s">
        <v>156</v>
      </c>
      <c r="B3" s="2" t="s">
        <v>324</v>
      </c>
    </row>
    <row r="4" spans="1:26" x14ac:dyDescent="0.25">
      <c r="A4" s="2" t="s">
        <v>158</v>
      </c>
      <c r="B4" s="75" t="s">
        <v>323</v>
      </c>
    </row>
    <row r="5" spans="1:26" x14ac:dyDescent="0.25">
      <c r="A5" s="2"/>
      <c r="B5" s="75"/>
    </row>
    <row r="6" spans="1:26" x14ac:dyDescent="0.25">
      <c r="A6" s="2"/>
      <c r="B6" s="75" t="s">
        <v>160</v>
      </c>
      <c r="D6" s="76" t="s">
        <v>161</v>
      </c>
    </row>
    <row r="7" spans="1:26" x14ac:dyDescent="0.25">
      <c r="A7" s="2"/>
      <c r="B7" s="75" t="s">
        <v>162</v>
      </c>
      <c r="D7" s="77">
        <v>2726000</v>
      </c>
    </row>
    <row r="8" spans="1:26" x14ac:dyDescent="0.25">
      <c r="A8" s="2"/>
      <c r="B8" s="75" t="s">
        <v>15</v>
      </c>
      <c r="D8" s="6">
        <v>1660000</v>
      </c>
    </row>
    <row r="9" spans="1:26" x14ac:dyDescent="0.25">
      <c r="A9" s="2"/>
      <c r="B9" s="78" t="s">
        <v>163</v>
      </c>
      <c r="C9" s="79"/>
      <c r="D9" s="80">
        <f>+D7-D8</f>
        <v>1066000</v>
      </c>
    </row>
    <row r="10" spans="1:26" x14ac:dyDescent="0.25">
      <c r="A10" s="2"/>
      <c r="B10" s="75" t="s">
        <v>10</v>
      </c>
      <c r="D10" s="65">
        <v>0</v>
      </c>
    </row>
    <row r="11" spans="1:26" x14ac:dyDescent="0.25">
      <c r="A11" s="2"/>
      <c r="B11" s="78" t="s">
        <v>164</v>
      </c>
      <c r="C11" s="79"/>
      <c r="D11" s="80">
        <f>+D9-D10</f>
        <v>1066000</v>
      </c>
    </row>
    <row r="13" spans="1:26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14" spans="1:26" ht="18" customHeight="1" x14ac:dyDescent="0.25">
      <c r="A14" s="83">
        <v>1</v>
      </c>
      <c r="B14" s="139">
        <v>45931</v>
      </c>
      <c r="C14" s="83">
        <v>4318</v>
      </c>
      <c r="D14" s="83" t="s">
        <v>246</v>
      </c>
      <c r="E14" s="85">
        <v>135049.62</v>
      </c>
      <c r="F14" s="85">
        <v>0</v>
      </c>
      <c r="G14" s="85">
        <v>135049.62</v>
      </c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spans="1:26" x14ac:dyDescent="0.25">
      <c r="E15" s="65">
        <f t="shared" ref="E15:G15" si="0">SUM(E14)</f>
        <v>135049.62</v>
      </c>
      <c r="F15" s="65">
        <f t="shared" si="0"/>
        <v>0</v>
      </c>
      <c r="G15" s="65">
        <f t="shared" si="0"/>
        <v>135049.62</v>
      </c>
      <c r="H15" s="65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98"/>
  <sheetViews>
    <sheetView topLeftCell="C1" workbookViewId="0">
      <selection activeCell="E17" sqref="E17"/>
    </sheetView>
  </sheetViews>
  <sheetFormatPr baseColWidth="10" defaultColWidth="14.42578125" defaultRowHeight="15" customHeight="1" x14ac:dyDescent="0.25"/>
  <cols>
    <col min="1" max="2" width="10.7109375" customWidth="1"/>
    <col min="3" max="3" width="16.28515625" customWidth="1"/>
    <col min="4" max="4" width="30.85546875" customWidth="1"/>
    <col min="5" max="5" width="24.28515625" customWidth="1"/>
    <col min="6" max="6" width="22.85546875" customWidth="1"/>
    <col min="7" max="7" width="21.7109375" customWidth="1"/>
    <col min="8" max="8" width="18.7109375" customWidth="1"/>
  </cols>
  <sheetData>
    <row r="1" spans="1:8" ht="64.5" customHeight="1" x14ac:dyDescent="0.25"/>
    <row r="2" spans="1:8" x14ac:dyDescent="0.25">
      <c r="A2" s="2" t="s">
        <v>155</v>
      </c>
      <c r="B2" s="2" t="s">
        <v>0</v>
      </c>
    </row>
    <row r="3" spans="1:8" x14ac:dyDescent="0.25">
      <c r="A3" s="2" t="s">
        <v>156</v>
      </c>
      <c r="B3" s="2" t="s">
        <v>169</v>
      </c>
    </row>
    <row r="4" spans="1:8" x14ac:dyDescent="0.25">
      <c r="A4" s="2" t="s">
        <v>158</v>
      </c>
      <c r="B4" s="124" t="s">
        <v>303</v>
      </c>
    </row>
    <row r="5" spans="1:8" x14ac:dyDescent="0.25">
      <c r="A5" s="2"/>
      <c r="B5" s="75"/>
    </row>
    <row r="6" spans="1:8" x14ac:dyDescent="0.25">
      <c r="A6" s="2"/>
      <c r="B6" s="75" t="s">
        <v>160</v>
      </c>
      <c r="D6" s="76" t="s">
        <v>161</v>
      </c>
    </row>
    <row r="7" spans="1:8" x14ac:dyDescent="0.25">
      <c r="A7" s="2"/>
      <c r="B7" s="75" t="s">
        <v>162</v>
      </c>
      <c r="D7" s="77">
        <v>28580461.820496</v>
      </c>
    </row>
    <row r="8" spans="1:8" x14ac:dyDescent="0.25">
      <c r="A8" s="2"/>
      <c r="B8" s="75" t="s">
        <v>15</v>
      </c>
      <c r="D8" s="6">
        <f>23185015.9195499+822504.69+252964.68+134345.76</f>
        <v>24394831.049549904</v>
      </c>
    </row>
    <row r="9" spans="1:8" x14ac:dyDescent="0.25">
      <c r="A9" s="2"/>
      <c r="B9" s="78" t="s">
        <v>163</v>
      </c>
      <c r="C9" s="79"/>
      <c r="D9" s="80">
        <f>+D7-D8</f>
        <v>4185630.7709460966</v>
      </c>
    </row>
    <row r="10" spans="1:8" x14ac:dyDescent="0.25">
      <c r="A10" s="2"/>
      <c r="B10" s="75" t="s">
        <v>10</v>
      </c>
      <c r="D10" s="65">
        <v>0</v>
      </c>
    </row>
    <row r="11" spans="1:8" x14ac:dyDescent="0.25">
      <c r="A11" s="2"/>
      <c r="B11" s="78" t="s">
        <v>164</v>
      </c>
      <c r="C11" s="79"/>
      <c r="D11" s="80">
        <f>+D9-D10</f>
        <v>4185630.7709460966</v>
      </c>
    </row>
    <row r="13" spans="1:8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14" spans="1:8" ht="15.75" customHeight="1" x14ac:dyDescent="0.25">
      <c r="B14" s="84"/>
      <c r="C14" s="83"/>
      <c r="E14" s="88"/>
      <c r="F14" s="88"/>
      <c r="G14" s="88"/>
    </row>
    <row r="15" spans="1:8" ht="15.75" customHeight="1" x14ac:dyDescent="0.25">
      <c r="E15" s="65">
        <v>0</v>
      </c>
      <c r="F15" s="65">
        <v>0</v>
      </c>
      <c r="G15" s="65">
        <v>0</v>
      </c>
    </row>
    <row r="16" spans="1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4.42578125" defaultRowHeight="15" customHeight="1" x14ac:dyDescent="0.25"/>
  <cols>
    <col min="1" max="2" width="10.7109375" customWidth="1"/>
    <col min="3" max="3" width="16.28515625" customWidth="1"/>
    <col min="4" max="4" width="30.85546875" customWidth="1"/>
    <col min="5" max="5" width="24.28515625" customWidth="1"/>
    <col min="6" max="6" width="22.85546875" customWidth="1"/>
    <col min="7" max="7" width="21.7109375" customWidth="1"/>
    <col min="8" max="8" width="18.7109375" customWidth="1"/>
    <col min="9" max="26" width="10.7109375" customWidth="1"/>
  </cols>
  <sheetData>
    <row r="1" spans="1:26" ht="62.25" customHeight="1" x14ac:dyDescent="0.25"/>
    <row r="2" spans="1:26" x14ac:dyDescent="0.25">
      <c r="A2" s="2" t="s">
        <v>155</v>
      </c>
      <c r="B2" s="2" t="s">
        <v>0</v>
      </c>
    </row>
    <row r="3" spans="1:26" x14ac:dyDescent="0.25">
      <c r="A3" s="2" t="s">
        <v>156</v>
      </c>
      <c r="B3" s="2" t="s">
        <v>171</v>
      </c>
    </row>
    <row r="4" spans="1:26" x14ac:dyDescent="0.25">
      <c r="A4" s="2" t="s">
        <v>158</v>
      </c>
      <c r="B4" s="75" t="s">
        <v>172</v>
      </c>
    </row>
    <row r="5" spans="1:26" x14ac:dyDescent="0.25">
      <c r="A5" s="2"/>
      <c r="B5" s="75"/>
    </row>
    <row r="6" spans="1:26" x14ac:dyDescent="0.25">
      <c r="A6" s="2"/>
      <c r="B6" s="75" t="s">
        <v>160</v>
      </c>
      <c r="D6" s="76" t="s">
        <v>161</v>
      </c>
    </row>
    <row r="7" spans="1:26" x14ac:dyDescent="0.25">
      <c r="A7" s="2"/>
      <c r="B7" s="75" t="s">
        <v>162</v>
      </c>
      <c r="D7" s="77">
        <f>159394.09*1.16</f>
        <v>184897.14439999999</v>
      </c>
    </row>
    <row r="8" spans="1:26" x14ac:dyDescent="0.25">
      <c r="A8" s="2"/>
      <c r="B8" s="75" t="s">
        <v>15</v>
      </c>
      <c r="D8" s="77">
        <v>92449.58</v>
      </c>
    </row>
    <row r="9" spans="1:26" x14ac:dyDescent="0.25">
      <c r="A9" s="2"/>
      <c r="B9" s="78" t="s">
        <v>163</v>
      </c>
      <c r="C9" s="79"/>
      <c r="D9" s="80">
        <f>+D7-D8</f>
        <v>92447.564399999988</v>
      </c>
    </row>
    <row r="10" spans="1:26" x14ac:dyDescent="0.25">
      <c r="A10" s="2"/>
      <c r="B10" s="75" t="s">
        <v>10</v>
      </c>
      <c r="D10" s="65">
        <v>0</v>
      </c>
    </row>
    <row r="11" spans="1:26" x14ac:dyDescent="0.25">
      <c r="A11" s="2"/>
      <c r="B11" s="78" t="s">
        <v>164</v>
      </c>
      <c r="C11" s="79"/>
      <c r="D11" s="80">
        <f>+D9-D10</f>
        <v>92447.564399999988</v>
      </c>
    </row>
    <row r="13" spans="1:26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14" spans="1:26" ht="18" customHeight="1" x14ac:dyDescent="0.25">
      <c r="A14" s="83"/>
      <c r="B14" s="84"/>
      <c r="C14" s="83"/>
      <c r="D14" s="89"/>
      <c r="E14" s="90"/>
      <c r="F14" s="90"/>
      <c r="G14" s="90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spans="1:26" x14ac:dyDescent="0.25">
      <c r="E15" s="65">
        <f>+E14</f>
        <v>0</v>
      </c>
      <c r="F15" s="65">
        <f>+F140</f>
        <v>0</v>
      </c>
      <c r="G15" s="65">
        <f>+G14</f>
        <v>0</v>
      </c>
      <c r="H15" s="6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4.42578125" defaultRowHeight="15" customHeight="1" x14ac:dyDescent="0.25"/>
  <cols>
    <col min="1" max="2" width="10.7109375" customWidth="1"/>
    <col min="3" max="3" width="16.28515625" customWidth="1"/>
    <col min="4" max="4" width="19.5703125" customWidth="1"/>
    <col min="5" max="5" width="20.140625" customWidth="1"/>
    <col min="6" max="6" width="22.85546875" customWidth="1"/>
    <col min="7" max="7" width="22.5703125" customWidth="1"/>
    <col min="8" max="8" width="18.7109375" customWidth="1"/>
    <col min="9" max="26" width="10.7109375" customWidth="1"/>
  </cols>
  <sheetData>
    <row r="1" spans="1:26" ht="63.75" customHeight="1" x14ac:dyDescent="0.25"/>
    <row r="2" spans="1:26" x14ac:dyDescent="0.25">
      <c r="A2" s="2" t="s">
        <v>155</v>
      </c>
      <c r="B2" s="2" t="s">
        <v>0</v>
      </c>
    </row>
    <row r="3" spans="1:26" x14ac:dyDescent="0.25">
      <c r="A3" s="2" t="s">
        <v>156</v>
      </c>
      <c r="B3" s="2" t="s">
        <v>173</v>
      </c>
    </row>
    <row r="4" spans="1:26" x14ac:dyDescent="0.25">
      <c r="A4" s="2" t="s">
        <v>158</v>
      </c>
      <c r="B4" s="75" t="s">
        <v>174</v>
      </c>
    </row>
    <row r="5" spans="1:26" x14ac:dyDescent="0.25">
      <c r="A5" s="2"/>
      <c r="B5" s="75"/>
    </row>
    <row r="6" spans="1:26" x14ac:dyDescent="0.25">
      <c r="A6" s="2"/>
      <c r="B6" s="75" t="s">
        <v>160</v>
      </c>
      <c r="D6" s="76" t="s">
        <v>161</v>
      </c>
    </row>
    <row r="7" spans="1:26" x14ac:dyDescent="0.25">
      <c r="A7" s="2"/>
      <c r="B7" s="75" t="s">
        <v>162</v>
      </c>
      <c r="D7" s="77">
        <v>696000</v>
      </c>
    </row>
    <row r="8" spans="1:26" x14ac:dyDescent="0.25">
      <c r="A8" s="2"/>
      <c r="B8" s="75" t="s">
        <v>15</v>
      </c>
      <c r="D8" s="88">
        <v>522000</v>
      </c>
    </row>
    <row r="9" spans="1:26" x14ac:dyDescent="0.25">
      <c r="A9" s="2"/>
      <c r="B9" s="78" t="s">
        <v>163</v>
      </c>
      <c r="C9" s="79"/>
      <c r="D9" s="65">
        <f>+D7-D8</f>
        <v>174000</v>
      </c>
    </row>
    <row r="10" spans="1:26" x14ac:dyDescent="0.25">
      <c r="A10" s="2"/>
      <c r="B10" s="75" t="s">
        <v>10</v>
      </c>
      <c r="D10" s="65">
        <v>0</v>
      </c>
    </row>
    <row r="11" spans="1:26" x14ac:dyDescent="0.25">
      <c r="A11" s="2"/>
      <c r="B11" s="78" t="s">
        <v>164</v>
      </c>
      <c r="C11" s="79"/>
      <c r="D11" s="80">
        <f>+D9-D10</f>
        <v>174000</v>
      </c>
    </row>
    <row r="13" spans="1:26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14" spans="1:26" x14ac:dyDescent="0.25">
      <c r="A14" s="83"/>
      <c r="B14" s="84"/>
      <c r="C14" s="83"/>
      <c r="D14" s="86"/>
      <c r="E14" s="90"/>
      <c r="F14" s="90"/>
      <c r="G14" s="90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spans="1:26" x14ac:dyDescent="0.25">
      <c r="E15" s="65">
        <f t="shared" ref="E15:G15" si="0">+E14</f>
        <v>0</v>
      </c>
      <c r="F15" s="65">
        <f t="shared" si="0"/>
        <v>0</v>
      </c>
      <c r="G15" s="65">
        <f t="shared" si="0"/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1"/>
  <sheetViews>
    <sheetView workbookViewId="0">
      <selection activeCell="E24" sqref="E24"/>
    </sheetView>
  </sheetViews>
  <sheetFormatPr baseColWidth="10" defaultColWidth="14.42578125" defaultRowHeight="15" customHeight="1" x14ac:dyDescent="0.2"/>
  <cols>
    <col min="1" max="1" width="11" style="135" customWidth="1"/>
    <col min="2" max="2" width="12.7109375" style="135" customWidth="1"/>
    <col min="3" max="3" width="17.42578125" style="135" customWidth="1"/>
    <col min="4" max="4" width="19.5703125" style="135" customWidth="1"/>
    <col min="5" max="5" width="20.140625" style="135" customWidth="1"/>
    <col min="6" max="6" width="22.85546875" style="135" customWidth="1"/>
    <col min="7" max="7" width="22.5703125" style="135" customWidth="1"/>
    <col min="8" max="8" width="18.7109375" style="135" customWidth="1"/>
    <col min="9" max="16384" width="14.42578125" style="135"/>
  </cols>
  <sheetData>
    <row r="1" spans="1:8" ht="71.25" customHeight="1" x14ac:dyDescent="0.2"/>
    <row r="2" spans="1:8" ht="14.25" x14ac:dyDescent="0.2">
      <c r="A2" s="2" t="s">
        <v>155</v>
      </c>
      <c r="B2" s="2" t="s">
        <v>0</v>
      </c>
    </row>
    <row r="3" spans="1:8" ht="14.25" x14ac:dyDescent="0.2">
      <c r="A3" s="2" t="s">
        <v>156</v>
      </c>
      <c r="B3" s="2" t="s">
        <v>175</v>
      </c>
      <c r="E3" s="136"/>
    </row>
    <row r="4" spans="1:8" ht="14.25" x14ac:dyDescent="0.2">
      <c r="A4" s="2" t="s">
        <v>158</v>
      </c>
      <c r="B4" s="75" t="s">
        <v>310</v>
      </c>
    </row>
    <row r="5" spans="1:8" ht="14.25" x14ac:dyDescent="0.2">
      <c r="A5" s="2"/>
      <c r="B5" s="75"/>
    </row>
    <row r="6" spans="1:8" ht="14.25" x14ac:dyDescent="0.2">
      <c r="A6" s="2"/>
      <c r="B6" s="75" t="s">
        <v>160</v>
      </c>
      <c r="D6" s="140" t="s">
        <v>161</v>
      </c>
    </row>
    <row r="7" spans="1:8" x14ac:dyDescent="0.25">
      <c r="A7" s="2"/>
      <c r="B7" s="75" t="s">
        <v>162</v>
      </c>
      <c r="D7" s="6">
        <v>19122789.451199997</v>
      </c>
    </row>
    <row r="8" spans="1:8" ht="15.75" thickBot="1" x14ac:dyDescent="0.3">
      <c r="A8" s="2"/>
      <c r="B8" s="75" t="s">
        <v>15</v>
      </c>
      <c r="D8" s="141">
        <v>16634790.379999999</v>
      </c>
    </row>
    <row r="9" spans="1:8" x14ac:dyDescent="0.25">
      <c r="A9" s="2"/>
      <c r="B9" s="78" t="s">
        <v>163</v>
      </c>
      <c r="C9" s="137"/>
      <c r="D9" s="65">
        <f>+D7-D8</f>
        <v>2487999.0711999983</v>
      </c>
    </row>
    <row r="10" spans="1:8" ht="15.75" thickBot="1" x14ac:dyDescent="0.3">
      <c r="A10" s="2"/>
      <c r="B10" s="75" t="s">
        <v>176</v>
      </c>
      <c r="D10" s="141">
        <f>+D7*3%</f>
        <v>573683.68353599985</v>
      </c>
    </row>
    <row r="11" spans="1:8" x14ac:dyDescent="0.25">
      <c r="A11" s="2"/>
      <c r="B11" s="78" t="s">
        <v>164</v>
      </c>
      <c r="C11" s="137"/>
      <c r="D11" s="65">
        <f>+D9-D10</f>
        <v>1914315.3876639984</v>
      </c>
    </row>
    <row r="12" spans="1:8" ht="15" customHeight="1" thickBot="1" x14ac:dyDescent="0.25"/>
    <row r="13" spans="1:8" ht="27.75" customHeight="1" x14ac:dyDescent="0.2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14" spans="1:8" ht="15" customHeight="1" x14ac:dyDescent="0.2">
      <c r="A14" s="91">
        <v>1</v>
      </c>
      <c r="B14" s="139">
        <v>45901</v>
      </c>
      <c r="C14" s="83">
        <v>4295</v>
      </c>
      <c r="D14" s="91" t="s">
        <v>177</v>
      </c>
      <c r="E14" s="87">
        <v>138814.32999999999</v>
      </c>
      <c r="F14" s="87">
        <v>0</v>
      </c>
      <c r="G14" s="87">
        <v>138814.32999999999</v>
      </c>
      <c r="H14" s="92"/>
    </row>
    <row r="15" spans="1:8" ht="15" customHeight="1" thickBot="1" x14ac:dyDescent="0.25">
      <c r="A15" s="91">
        <v>2</v>
      </c>
      <c r="B15" s="139">
        <v>45922</v>
      </c>
      <c r="C15" s="83">
        <v>4314</v>
      </c>
      <c r="D15" s="91" t="s">
        <v>304</v>
      </c>
      <c r="E15" s="121">
        <v>54753.73</v>
      </c>
      <c r="F15" s="121">
        <v>0</v>
      </c>
      <c r="G15" s="121">
        <v>54753.73</v>
      </c>
      <c r="H15" s="92"/>
    </row>
    <row r="16" spans="1:8" x14ac:dyDescent="0.25">
      <c r="E16" s="115">
        <f>+E14+E15</f>
        <v>193568.06</v>
      </c>
      <c r="F16" s="115">
        <f t="shared" ref="F16:G16" si="0">+F14+F15</f>
        <v>0</v>
      </c>
      <c r="G16" s="115">
        <f t="shared" si="0"/>
        <v>193568.06</v>
      </c>
      <c r="H16" s="138"/>
    </row>
    <row r="17" spans="5:7" ht="15" customHeight="1" x14ac:dyDescent="0.2">
      <c r="E17" s="87"/>
      <c r="F17" s="87"/>
      <c r="G17" s="87"/>
    </row>
    <row r="22" spans="5:7" ht="15.75" customHeight="1" x14ac:dyDescent="0.2"/>
    <row r="23" spans="5:7" ht="15.75" customHeight="1" x14ac:dyDescent="0.2"/>
    <row r="24" spans="5:7" ht="15.75" customHeight="1" x14ac:dyDescent="0.2"/>
    <row r="25" spans="5:7" ht="15.75" customHeight="1" x14ac:dyDescent="0.2"/>
    <row r="26" spans="5:7" ht="15.75" customHeight="1" x14ac:dyDescent="0.2"/>
    <row r="27" spans="5:7" ht="15.75" customHeight="1" x14ac:dyDescent="0.2"/>
    <row r="28" spans="5:7" ht="15.75" customHeight="1" x14ac:dyDescent="0.2"/>
    <row r="29" spans="5:7" ht="15.75" customHeight="1" x14ac:dyDescent="0.2"/>
    <row r="30" spans="5:7" ht="15.75" customHeight="1" x14ac:dyDescent="0.2"/>
    <row r="31" spans="5:7" ht="15.75" customHeight="1" x14ac:dyDescent="0.2"/>
    <row r="32" spans="5:7" ht="15.75" customHeight="1" x14ac:dyDescent="0.2"/>
    <row r="33" s="135" customFormat="1" ht="15.75" customHeight="1" x14ac:dyDescent="0.2"/>
    <row r="34" s="135" customFormat="1" ht="15.75" customHeight="1" x14ac:dyDescent="0.2"/>
    <row r="35" s="135" customFormat="1" ht="15.75" customHeight="1" x14ac:dyDescent="0.2"/>
    <row r="36" s="135" customFormat="1" ht="15.75" customHeight="1" x14ac:dyDescent="0.2"/>
    <row r="37" s="135" customFormat="1" ht="15.75" customHeight="1" x14ac:dyDescent="0.2"/>
    <row r="38" s="135" customFormat="1" ht="15.75" customHeight="1" x14ac:dyDescent="0.2"/>
    <row r="39" s="135" customFormat="1" ht="15.75" customHeight="1" x14ac:dyDescent="0.2"/>
    <row r="40" s="135" customFormat="1" ht="15.75" customHeight="1" x14ac:dyDescent="0.2"/>
    <row r="41" s="135" customFormat="1" ht="15.75" customHeight="1" x14ac:dyDescent="0.2"/>
    <row r="42" s="135" customFormat="1" ht="15.75" customHeight="1" x14ac:dyDescent="0.2"/>
    <row r="43" s="135" customFormat="1" ht="15.75" customHeight="1" x14ac:dyDescent="0.2"/>
    <row r="44" s="135" customFormat="1" ht="15.75" customHeight="1" x14ac:dyDescent="0.2"/>
    <row r="45" s="135" customFormat="1" ht="15.75" customHeight="1" x14ac:dyDescent="0.2"/>
    <row r="46" s="135" customFormat="1" ht="15.75" customHeight="1" x14ac:dyDescent="0.2"/>
    <row r="47" s="135" customFormat="1" ht="15.75" customHeight="1" x14ac:dyDescent="0.2"/>
    <row r="48" s="135" customFormat="1" ht="15.75" customHeight="1" x14ac:dyDescent="0.2"/>
    <row r="49" s="135" customFormat="1" ht="15.75" customHeight="1" x14ac:dyDescent="0.2"/>
    <row r="50" s="135" customFormat="1" ht="15.75" customHeight="1" x14ac:dyDescent="0.2"/>
    <row r="51" s="135" customFormat="1" ht="15.75" customHeight="1" x14ac:dyDescent="0.2"/>
    <row r="52" s="135" customFormat="1" ht="15.75" customHeight="1" x14ac:dyDescent="0.2"/>
    <row r="53" s="135" customFormat="1" ht="15.75" customHeight="1" x14ac:dyDescent="0.2"/>
    <row r="54" s="135" customFormat="1" ht="15.75" customHeight="1" x14ac:dyDescent="0.2"/>
    <row r="55" s="135" customFormat="1" ht="15.75" customHeight="1" x14ac:dyDescent="0.2"/>
    <row r="56" s="135" customFormat="1" ht="15.75" customHeight="1" x14ac:dyDescent="0.2"/>
    <row r="57" s="135" customFormat="1" ht="15.75" customHeight="1" x14ac:dyDescent="0.2"/>
    <row r="58" s="135" customFormat="1" ht="15.75" customHeight="1" x14ac:dyDescent="0.2"/>
    <row r="59" s="135" customFormat="1" ht="15.75" customHeight="1" x14ac:dyDescent="0.2"/>
    <row r="60" s="135" customFormat="1" ht="15.75" customHeight="1" x14ac:dyDescent="0.2"/>
    <row r="61" s="135" customFormat="1" ht="15.75" customHeight="1" x14ac:dyDescent="0.2"/>
    <row r="62" s="135" customFormat="1" ht="15.75" customHeight="1" x14ac:dyDescent="0.2"/>
    <row r="63" s="135" customFormat="1" ht="15.75" customHeight="1" x14ac:dyDescent="0.2"/>
    <row r="64" s="135" customFormat="1" ht="15.75" customHeight="1" x14ac:dyDescent="0.2"/>
    <row r="65" s="135" customFormat="1" ht="15.75" customHeight="1" x14ac:dyDescent="0.2"/>
    <row r="66" s="135" customFormat="1" ht="15.75" customHeight="1" x14ac:dyDescent="0.2"/>
    <row r="67" s="135" customFormat="1" ht="15.75" customHeight="1" x14ac:dyDescent="0.2"/>
    <row r="68" s="135" customFormat="1" ht="15.75" customHeight="1" x14ac:dyDescent="0.2"/>
    <row r="69" s="135" customFormat="1" ht="15.75" customHeight="1" x14ac:dyDescent="0.2"/>
    <row r="70" s="135" customFormat="1" ht="15.75" customHeight="1" x14ac:dyDescent="0.2"/>
    <row r="71" s="135" customFormat="1" ht="15.75" customHeight="1" x14ac:dyDescent="0.2"/>
    <row r="72" s="135" customFormat="1" ht="15.75" customHeight="1" x14ac:dyDescent="0.2"/>
    <row r="73" s="135" customFormat="1" ht="15.75" customHeight="1" x14ac:dyDescent="0.2"/>
    <row r="74" s="135" customFormat="1" ht="15.75" customHeight="1" x14ac:dyDescent="0.2"/>
    <row r="75" s="135" customFormat="1" ht="15.75" customHeight="1" x14ac:dyDescent="0.2"/>
    <row r="76" s="135" customFormat="1" ht="15.75" customHeight="1" x14ac:dyDescent="0.2"/>
    <row r="77" s="135" customFormat="1" ht="15.75" customHeight="1" x14ac:dyDescent="0.2"/>
    <row r="78" s="135" customFormat="1" ht="15.75" customHeight="1" x14ac:dyDescent="0.2"/>
    <row r="79" s="135" customFormat="1" ht="15.75" customHeight="1" x14ac:dyDescent="0.2"/>
    <row r="80" s="135" customFormat="1" ht="15.75" customHeight="1" x14ac:dyDescent="0.2"/>
    <row r="81" s="135" customFormat="1" ht="15.75" customHeight="1" x14ac:dyDescent="0.2"/>
    <row r="82" s="135" customFormat="1" ht="15.75" customHeight="1" x14ac:dyDescent="0.2"/>
    <row r="83" s="135" customFormat="1" ht="15.75" customHeight="1" x14ac:dyDescent="0.2"/>
    <row r="84" s="135" customFormat="1" ht="15.75" customHeight="1" x14ac:dyDescent="0.2"/>
    <row r="85" s="135" customFormat="1" ht="15.75" customHeight="1" x14ac:dyDescent="0.2"/>
    <row r="86" s="135" customFormat="1" ht="15.75" customHeight="1" x14ac:dyDescent="0.2"/>
    <row r="87" s="135" customFormat="1" ht="15.75" customHeight="1" x14ac:dyDescent="0.2"/>
    <row r="88" s="135" customFormat="1" ht="15.75" customHeight="1" x14ac:dyDescent="0.2"/>
    <row r="89" s="135" customFormat="1" ht="15.75" customHeight="1" x14ac:dyDescent="0.2"/>
    <row r="90" s="135" customFormat="1" ht="15.75" customHeight="1" x14ac:dyDescent="0.2"/>
    <row r="91" s="135" customFormat="1" ht="15.75" customHeight="1" x14ac:dyDescent="0.2"/>
    <row r="92" s="135" customFormat="1" ht="15.75" customHeight="1" x14ac:dyDescent="0.2"/>
    <row r="93" s="135" customFormat="1" ht="15.75" customHeight="1" x14ac:dyDescent="0.2"/>
    <row r="94" s="135" customFormat="1" ht="15.75" customHeight="1" x14ac:dyDescent="0.2"/>
    <row r="95" s="135" customFormat="1" ht="15.75" customHeight="1" x14ac:dyDescent="0.2"/>
    <row r="96" s="135" customFormat="1" ht="15.75" customHeight="1" x14ac:dyDescent="0.2"/>
    <row r="97" s="135" customFormat="1" ht="15.75" customHeight="1" x14ac:dyDescent="0.2"/>
    <row r="98" s="135" customFormat="1" ht="15.75" customHeight="1" x14ac:dyDescent="0.2"/>
    <row r="99" s="135" customFormat="1" ht="15.75" customHeight="1" x14ac:dyDescent="0.2"/>
    <row r="100" s="135" customFormat="1" ht="15.75" customHeight="1" x14ac:dyDescent="0.2"/>
    <row r="101" s="135" customFormat="1" ht="15.75" customHeight="1" x14ac:dyDescent="0.2"/>
    <row r="102" s="135" customFormat="1" ht="15.75" customHeight="1" x14ac:dyDescent="0.2"/>
    <row r="103" s="135" customFormat="1" ht="15.75" customHeight="1" x14ac:dyDescent="0.2"/>
    <row r="104" s="135" customFormat="1" ht="15.75" customHeight="1" x14ac:dyDescent="0.2"/>
    <row r="105" s="135" customFormat="1" ht="15.75" customHeight="1" x14ac:dyDescent="0.2"/>
    <row r="106" s="135" customFormat="1" ht="15.75" customHeight="1" x14ac:dyDescent="0.2"/>
    <row r="107" s="135" customFormat="1" ht="15.75" customHeight="1" x14ac:dyDescent="0.2"/>
    <row r="108" s="135" customFormat="1" ht="15.75" customHeight="1" x14ac:dyDescent="0.2"/>
    <row r="109" s="135" customFormat="1" ht="15.75" customHeight="1" x14ac:dyDescent="0.2"/>
    <row r="110" s="135" customFormat="1" ht="15.75" customHeight="1" x14ac:dyDescent="0.2"/>
    <row r="111" s="135" customFormat="1" ht="15.75" customHeight="1" x14ac:dyDescent="0.2"/>
    <row r="112" s="135" customFormat="1" ht="15.75" customHeight="1" x14ac:dyDescent="0.2"/>
    <row r="113" s="135" customFormat="1" ht="15.75" customHeight="1" x14ac:dyDescent="0.2"/>
    <row r="114" s="135" customFormat="1" ht="15.75" customHeight="1" x14ac:dyDescent="0.2"/>
    <row r="115" s="135" customFormat="1" ht="15.75" customHeight="1" x14ac:dyDescent="0.2"/>
    <row r="116" s="135" customFormat="1" ht="15.75" customHeight="1" x14ac:dyDescent="0.2"/>
    <row r="117" s="135" customFormat="1" ht="15.75" customHeight="1" x14ac:dyDescent="0.2"/>
    <row r="118" s="135" customFormat="1" ht="15.75" customHeight="1" x14ac:dyDescent="0.2"/>
    <row r="119" s="135" customFormat="1" ht="15.75" customHeight="1" x14ac:dyDescent="0.2"/>
    <row r="120" s="135" customFormat="1" ht="15.75" customHeight="1" x14ac:dyDescent="0.2"/>
    <row r="121" s="135" customFormat="1" ht="15.75" customHeight="1" x14ac:dyDescent="0.2"/>
    <row r="122" s="135" customFormat="1" ht="15.75" customHeight="1" x14ac:dyDescent="0.2"/>
    <row r="123" s="135" customFormat="1" ht="15.75" customHeight="1" x14ac:dyDescent="0.2"/>
    <row r="124" s="135" customFormat="1" ht="15.75" customHeight="1" x14ac:dyDescent="0.2"/>
    <row r="125" s="135" customFormat="1" ht="15.75" customHeight="1" x14ac:dyDescent="0.2"/>
    <row r="126" s="135" customFormat="1" ht="15.75" customHeight="1" x14ac:dyDescent="0.2"/>
    <row r="127" s="135" customFormat="1" ht="15.75" customHeight="1" x14ac:dyDescent="0.2"/>
    <row r="128" s="135" customFormat="1" ht="15.75" customHeight="1" x14ac:dyDescent="0.2"/>
    <row r="129" s="135" customFormat="1" ht="15.75" customHeight="1" x14ac:dyDescent="0.2"/>
    <row r="130" s="135" customFormat="1" ht="15.75" customHeight="1" x14ac:dyDescent="0.2"/>
    <row r="131" s="135" customFormat="1" ht="15.75" customHeight="1" x14ac:dyDescent="0.2"/>
    <row r="132" s="135" customFormat="1" ht="15.75" customHeight="1" x14ac:dyDescent="0.2"/>
    <row r="133" s="135" customFormat="1" ht="15.75" customHeight="1" x14ac:dyDescent="0.2"/>
    <row r="134" s="135" customFormat="1" ht="15.75" customHeight="1" x14ac:dyDescent="0.2"/>
    <row r="135" s="135" customFormat="1" ht="15.75" customHeight="1" x14ac:dyDescent="0.2"/>
    <row r="136" s="135" customFormat="1" ht="15.75" customHeight="1" x14ac:dyDescent="0.2"/>
    <row r="137" s="135" customFormat="1" ht="15.75" customHeight="1" x14ac:dyDescent="0.2"/>
    <row r="138" s="135" customFormat="1" ht="15.75" customHeight="1" x14ac:dyDescent="0.2"/>
    <row r="139" s="135" customFormat="1" ht="15.75" customHeight="1" x14ac:dyDescent="0.2"/>
    <row r="140" s="135" customFormat="1" ht="15.75" customHeight="1" x14ac:dyDescent="0.2"/>
    <row r="141" s="135" customFormat="1" ht="15.75" customHeight="1" x14ac:dyDescent="0.2"/>
    <row r="142" s="135" customFormat="1" ht="15.75" customHeight="1" x14ac:dyDescent="0.2"/>
    <row r="143" s="135" customFormat="1" ht="15.75" customHeight="1" x14ac:dyDescent="0.2"/>
    <row r="144" s="135" customFormat="1" ht="15.75" customHeight="1" x14ac:dyDescent="0.2"/>
    <row r="145" s="135" customFormat="1" ht="15.75" customHeight="1" x14ac:dyDescent="0.2"/>
    <row r="146" s="135" customFormat="1" ht="15.75" customHeight="1" x14ac:dyDescent="0.2"/>
    <row r="147" s="135" customFormat="1" ht="15.75" customHeight="1" x14ac:dyDescent="0.2"/>
    <row r="148" s="135" customFormat="1" ht="15.75" customHeight="1" x14ac:dyDescent="0.2"/>
    <row r="149" s="135" customFormat="1" ht="15.75" customHeight="1" x14ac:dyDescent="0.2"/>
    <row r="150" s="135" customFormat="1" ht="15.75" customHeight="1" x14ac:dyDescent="0.2"/>
    <row r="151" s="135" customFormat="1" ht="15.75" customHeight="1" x14ac:dyDescent="0.2"/>
    <row r="152" s="135" customFormat="1" ht="15.75" customHeight="1" x14ac:dyDescent="0.2"/>
    <row r="153" s="135" customFormat="1" ht="15.75" customHeight="1" x14ac:dyDescent="0.2"/>
    <row r="154" s="135" customFormat="1" ht="15.75" customHeight="1" x14ac:dyDescent="0.2"/>
    <row r="155" s="135" customFormat="1" ht="15.75" customHeight="1" x14ac:dyDescent="0.2"/>
    <row r="156" s="135" customFormat="1" ht="15.75" customHeight="1" x14ac:dyDescent="0.2"/>
    <row r="157" s="135" customFormat="1" ht="15.75" customHeight="1" x14ac:dyDescent="0.2"/>
    <row r="158" s="135" customFormat="1" ht="15.75" customHeight="1" x14ac:dyDescent="0.2"/>
    <row r="159" s="135" customFormat="1" ht="15.75" customHeight="1" x14ac:dyDescent="0.2"/>
    <row r="160" s="135" customFormat="1" ht="15.75" customHeight="1" x14ac:dyDescent="0.2"/>
    <row r="161" s="135" customFormat="1" ht="15.75" customHeight="1" x14ac:dyDescent="0.2"/>
    <row r="162" s="135" customFormat="1" ht="15.75" customHeight="1" x14ac:dyDescent="0.2"/>
    <row r="163" s="135" customFormat="1" ht="15.75" customHeight="1" x14ac:dyDescent="0.2"/>
    <row r="164" s="135" customFormat="1" ht="15.75" customHeight="1" x14ac:dyDescent="0.2"/>
    <row r="165" s="135" customFormat="1" ht="15.75" customHeight="1" x14ac:dyDescent="0.2"/>
    <row r="166" s="135" customFormat="1" ht="15.75" customHeight="1" x14ac:dyDescent="0.2"/>
    <row r="167" s="135" customFormat="1" ht="15.75" customHeight="1" x14ac:dyDescent="0.2"/>
    <row r="168" s="135" customFormat="1" ht="15.75" customHeight="1" x14ac:dyDescent="0.2"/>
    <row r="169" s="135" customFormat="1" ht="15.75" customHeight="1" x14ac:dyDescent="0.2"/>
    <row r="170" s="135" customFormat="1" ht="15.75" customHeight="1" x14ac:dyDescent="0.2"/>
    <row r="171" s="135" customFormat="1" ht="15.75" customHeight="1" x14ac:dyDescent="0.2"/>
    <row r="172" s="135" customFormat="1" ht="15.75" customHeight="1" x14ac:dyDescent="0.2"/>
    <row r="173" s="135" customFormat="1" ht="15.75" customHeight="1" x14ac:dyDescent="0.2"/>
    <row r="174" s="135" customFormat="1" ht="15.75" customHeight="1" x14ac:dyDescent="0.2"/>
    <row r="175" s="135" customFormat="1" ht="15.75" customHeight="1" x14ac:dyDescent="0.2"/>
    <row r="176" s="135" customFormat="1" ht="15.75" customHeight="1" x14ac:dyDescent="0.2"/>
    <row r="177" s="135" customFormat="1" ht="15.75" customHeight="1" x14ac:dyDescent="0.2"/>
    <row r="178" s="135" customFormat="1" ht="15.75" customHeight="1" x14ac:dyDescent="0.2"/>
    <row r="179" s="135" customFormat="1" ht="15.75" customHeight="1" x14ac:dyDescent="0.2"/>
    <row r="180" s="135" customFormat="1" ht="15.75" customHeight="1" x14ac:dyDescent="0.2"/>
    <row r="181" s="135" customFormat="1" ht="15.75" customHeight="1" x14ac:dyDescent="0.2"/>
    <row r="182" s="135" customFormat="1" ht="15.75" customHeight="1" x14ac:dyDescent="0.2"/>
    <row r="183" s="135" customFormat="1" ht="15.75" customHeight="1" x14ac:dyDescent="0.2"/>
    <row r="184" s="135" customFormat="1" ht="15.75" customHeight="1" x14ac:dyDescent="0.2"/>
    <row r="185" s="135" customFormat="1" ht="15.75" customHeight="1" x14ac:dyDescent="0.2"/>
    <row r="186" s="135" customFormat="1" ht="15.75" customHeight="1" x14ac:dyDescent="0.2"/>
    <row r="187" s="135" customFormat="1" ht="15.75" customHeight="1" x14ac:dyDescent="0.2"/>
    <row r="188" s="135" customFormat="1" ht="15.75" customHeight="1" x14ac:dyDescent="0.2"/>
    <row r="189" s="135" customFormat="1" ht="15.75" customHeight="1" x14ac:dyDescent="0.2"/>
    <row r="190" s="135" customFormat="1" ht="15.75" customHeight="1" x14ac:dyDescent="0.2"/>
    <row r="191" s="135" customFormat="1" ht="15.75" customHeight="1" x14ac:dyDescent="0.2"/>
    <row r="192" s="135" customFormat="1" ht="15.75" customHeight="1" x14ac:dyDescent="0.2"/>
    <row r="193" s="135" customFormat="1" ht="15.75" customHeight="1" x14ac:dyDescent="0.2"/>
    <row r="194" s="135" customFormat="1" ht="15.75" customHeight="1" x14ac:dyDescent="0.2"/>
    <row r="195" s="135" customFormat="1" ht="15.75" customHeight="1" x14ac:dyDescent="0.2"/>
    <row r="196" s="135" customFormat="1" ht="15.75" customHeight="1" x14ac:dyDescent="0.2"/>
    <row r="197" s="135" customFormat="1" ht="15.75" customHeight="1" x14ac:dyDescent="0.2"/>
    <row r="198" s="135" customFormat="1" ht="15.75" customHeight="1" x14ac:dyDescent="0.2"/>
    <row r="199" s="135" customFormat="1" ht="15.75" customHeight="1" x14ac:dyDescent="0.2"/>
    <row r="200" s="135" customFormat="1" ht="15.75" customHeight="1" x14ac:dyDescent="0.2"/>
    <row r="201" s="135" customFormat="1" ht="15.75" customHeight="1" x14ac:dyDescent="0.2"/>
    <row r="202" s="135" customFormat="1" ht="15.75" customHeight="1" x14ac:dyDescent="0.2"/>
    <row r="203" s="135" customFormat="1" ht="15.75" customHeight="1" x14ac:dyDescent="0.2"/>
    <row r="204" s="135" customFormat="1" ht="15.75" customHeight="1" x14ac:dyDescent="0.2"/>
    <row r="205" s="135" customFormat="1" ht="15.75" customHeight="1" x14ac:dyDescent="0.2"/>
    <row r="206" s="135" customFormat="1" ht="15.75" customHeight="1" x14ac:dyDescent="0.2"/>
    <row r="207" s="135" customFormat="1" ht="15.75" customHeight="1" x14ac:dyDescent="0.2"/>
    <row r="208" s="135" customFormat="1" ht="15.75" customHeight="1" x14ac:dyDescent="0.2"/>
    <row r="209" s="135" customFormat="1" ht="15.75" customHeight="1" x14ac:dyDescent="0.2"/>
    <row r="210" s="135" customFormat="1" ht="15.75" customHeight="1" x14ac:dyDescent="0.2"/>
    <row r="211" s="135" customFormat="1" ht="15.75" customHeight="1" x14ac:dyDescent="0.2"/>
    <row r="212" s="135" customFormat="1" ht="15.75" customHeight="1" x14ac:dyDescent="0.2"/>
    <row r="213" s="135" customFormat="1" ht="15.75" customHeight="1" x14ac:dyDescent="0.2"/>
    <row r="214" s="135" customFormat="1" ht="15.75" customHeight="1" x14ac:dyDescent="0.2"/>
    <row r="215" s="135" customFormat="1" ht="15.75" customHeight="1" x14ac:dyDescent="0.2"/>
    <row r="216" s="135" customFormat="1" ht="15.75" customHeight="1" x14ac:dyDescent="0.2"/>
    <row r="217" s="135" customFormat="1" ht="15.75" customHeight="1" x14ac:dyDescent="0.2"/>
    <row r="218" s="135" customFormat="1" ht="15.75" customHeight="1" x14ac:dyDescent="0.2"/>
    <row r="219" s="135" customFormat="1" ht="15.75" customHeight="1" x14ac:dyDescent="0.2"/>
    <row r="220" s="135" customFormat="1" ht="15.75" customHeight="1" x14ac:dyDescent="0.2"/>
    <row r="221" s="135" customFormat="1" ht="15.75" customHeight="1" x14ac:dyDescent="0.2"/>
    <row r="222" s="135" customFormat="1" ht="15.75" customHeight="1" x14ac:dyDescent="0.2"/>
    <row r="223" s="135" customFormat="1" ht="15.75" customHeight="1" x14ac:dyDescent="0.2"/>
    <row r="224" s="135" customFormat="1" ht="15.75" customHeight="1" x14ac:dyDescent="0.2"/>
    <row r="225" s="135" customFormat="1" ht="15.75" customHeight="1" x14ac:dyDescent="0.2"/>
    <row r="226" s="135" customFormat="1" ht="15.75" customHeight="1" x14ac:dyDescent="0.2"/>
    <row r="227" s="135" customFormat="1" ht="15.75" customHeight="1" x14ac:dyDescent="0.2"/>
    <row r="228" s="135" customFormat="1" ht="15.75" customHeight="1" x14ac:dyDescent="0.2"/>
    <row r="229" s="135" customFormat="1" ht="15.75" customHeight="1" x14ac:dyDescent="0.2"/>
    <row r="230" s="135" customFormat="1" ht="15.75" customHeight="1" x14ac:dyDescent="0.2"/>
    <row r="231" s="135" customFormat="1" ht="15.75" customHeight="1" x14ac:dyDescent="0.2"/>
    <row r="232" s="135" customFormat="1" ht="15.75" customHeight="1" x14ac:dyDescent="0.2"/>
    <row r="233" s="135" customFormat="1" ht="15.75" customHeight="1" x14ac:dyDescent="0.2"/>
    <row r="234" s="135" customFormat="1" ht="15.75" customHeight="1" x14ac:dyDescent="0.2"/>
    <row r="235" s="135" customFormat="1" ht="15.75" customHeight="1" x14ac:dyDescent="0.2"/>
    <row r="236" s="135" customFormat="1" ht="15.75" customHeight="1" x14ac:dyDescent="0.2"/>
    <row r="237" s="135" customFormat="1" ht="15.75" customHeight="1" x14ac:dyDescent="0.2"/>
    <row r="238" s="135" customFormat="1" ht="15.75" customHeight="1" x14ac:dyDescent="0.2"/>
    <row r="239" s="135" customFormat="1" ht="15.75" customHeight="1" x14ac:dyDescent="0.2"/>
    <row r="240" s="135" customFormat="1" ht="15.75" customHeight="1" x14ac:dyDescent="0.2"/>
    <row r="241" s="135" customFormat="1" ht="15.75" customHeight="1" x14ac:dyDescent="0.2"/>
    <row r="242" s="135" customFormat="1" ht="15.75" customHeight="1" x14ac:dyDescent="0.2"/>
    <row r="243" s="135" customFormat="1" ht="15.75" customHeight="1" x14ac:dyDescent="0.2"/>
    <row r="244" s="135" customFormat="1" ht="15.75" customHeight="1" x14ac:dyDescent="0.2"/>
    <row r="245" s="135" customFormat="1" ht="15.75" customHeight="1" x14ac:dyDescent="0.2"/>
    <row r="246" s="135" customFormat="1" ht="15.75" customHeight="1" x14ac:dyDescent="0.2"/>
    <row r="247" s="135" customFormat="1" ht="15.75" customHeight="1" x14ac:dyDescent="0.2"/>
    <row r="248" s="135" customFormat="1" ht="15.75" customHeight="1" x14ac:dyDescent="0.2"/>
    <row r="249" s="135" customFormat="1" ht="15.75" customHeight="1" x14ac:dyDescent="0.2"/>
    <row r="250" s="135" customFormat="1" ht="15.75" customHeight="1" x14ac:dyDescent="0.2"/>
    <row r="251" s="135" customFormat="1" ht="15.75" customHeight="1" x14ac:dyDescent="0.2"/>
    <row r="252" s="135" customFormat="1" ht="15.75" customHeight="1" x14ac:dyDescent="0.2"/>
    <row r="253" s="135" customFormat="1" ht="15.75" customHeight="1" x14ac:dyDescent="0.2"/>
    <row r="254" s="135" customFormat="1" ht="15.75" customHeight="1" x14ac:dyDescent="0.2"/>
    <row r="255" s="135" customFormat="1" ht="15.75" customHeight="1" x14ac:dyDescent="0.2"/>
    <row r="256" s="135" customFormat="1" ht="15.75" customHeight="1" x14ac:dyDescent="0.2"/>
    <row r="257" s="135" customFormat="1" ht="15.75" customHeight="1" x14ac:dyDescent="0.2"/>
    <row r="258" s="135" customFormat="1" ht="15.75" customHeight="1" x14ac:dyDescent="0.2"/>
    <row r="259" s="135" customFormat="1" ht="15.75" customHeight="1" x14ac:dyDescent="0.2"/>
    <row r="260" s="135" customFormat="1" ht="15.75" customHeight="1" x14ac:dyDescent="0.2"/>
    <row r="261" s="135" customFormat="1" ht="15.75" customHeight="1" x14ac:dyDescent="0.2"/>
    <row r="262" s="135" customFormat="1" ht="15.75" customHeight="1" x14ac:dyDescent="0.2"/>
    <row r="263" s="135" customFormat="1" ht="15.75" customHeight="1" x14ac:dyDescent="0.2"/>
    <row r="264" s="135" customFormat="1" ht="15.75" customHeight="1" x14ac:dyDescent="0.2"/>
    <row r="265" s="135" customFormat="1" ht="15.75" customHeight="1" x14ac:dyDescent="0.2"/>
    <row r="266" s="135" customFormat="1" ht="15.75" customHeight="1" x14ac:dyDescent="0.2"/>
    <row r="267" s="135" customFormat="1" ht="15.75" customHeight="1" x14ac:dyDescent="0.2"/>
    <row r="268" s="135" customFormat="1" ht="15.75" customHeight="1" x14ac:dyDescent="0.2"/>
    <row r="269" s="135" customFormat="1" ht="15.75" customHeight="1" x14ac:dyDescent="0.2"/>
    <row r="270" s="135" customFormat="1" ht="15.75" customHeight="1" x14ac:dyDescent="0.2"/>
    <row r="271" s="135" customFormat="1" ht="15.75" customHeight="1" x14ac:dyDescent="0.2"/>
    <row r="272" s="135" customFormat="1" ht="15.75" customHeight="1" x14ac:dyDescent="0.2"/>
    <row r="273" s="135" customFormat="1" ht="15.75" customHeight="1" x14ac:dyDescent="0.2"/>
    <row r="274" s="135" customFormat="1" ht="15.75" customHeight="1" x14ac:dyDescent="0.2"/>
    <row r="275" s="135" customFormat="1" ht="15.75" customHeight="1" x14ac:dyDescent="0.2"/>
    <row r="276" s="135" customFormat="1" ht="15.75" customHeight="1" x14ac:dyDescent="0.2"/>
    <row r="277" s="135" customFormat="1" ht="15.75" customHeight="1" x14ac:dyDescent="0.2"/>
    <row r="278" s="135" customFormat="1" ht="15.75" customHeight="1" x14ac:dyDescent="0.2"/>
    <row r="279" s="135" customFormat="1" ht="15.75" customHeight="1" x14ac:dyDescent="0.2"/>
    <row r="280" s="135" customFormat="1" ht="15.75" customHeight="1" x14ac:dyDescent="0.2"/>
    <row r="281" s="135" customFormat="1" ht="15.75" customHeight="1" x14ac:dyDescent="0.2"/>
    <row r="282" s="135" customFormat="1" ht="15.75" customHeight="1" x14ac:dyDescent="0.2"/>
    <row r="283" s="135" customFormat="1" ht="15.75" customHeight="1" x14ac:dyDescent="0.2"/>
    <row r="284" s="135" customFormat="1" ht="15.75" customHeight="1" x14ac:dyDescent="0.2"/>
    <row r="285" s="135" customFormat="1" ht="15.75" customHeight="1" x14ac:dyDescent="0.2"/>
    <row r="286" s="135" customFormat="1" ht="15.75" customHeight="1" x14ac:dyDescent="0.2"/>
    <row r="287" s="135" customFormat="1" ht="15.75" customHeight="1" x14ac:dyDescent="0.2"/>
    <row r="288" s="135" customFormat="1" ht="15.75" customHeight="1" x14ac:dyDescent="0.2"/>
    <row r="289" s="135" customFormat="1" ht="15.75" customHeight="1" x14ac:dyDescent="0.2"/>
    <row r="290" s="135" customFormat="1" ht="15.75" customHeight="1" x14ac:dyDescent="0.2"/>
    <row r="291" s="135" customFormat="1" ht="15.75" customHeight="1" x14ac:dyDescent="0.2"/>
    <row r="292" s="135" customFormat="1" ht="15.75" customHeight="1" x14ac:dyDescent="0.2"/>
    <row r="293" s="135" customFormat="1" ht="15.75" customHeight="1" x14ac:dyDescent="0.2"/>
    <row r="294" s="135" customFormat="1" ht="15.75" customHeight="1" x14ac:dyDescent="0.2"/>
    <row r="295" s="135" customFormat="1" ht="15.75" customHeight="1" x14ac:dyDescent="0.2"/>
    <row r="296" s="135" customFormat="1" ht="15.75" customHeight="1" x14ac:dyDescent="0.2"/>
    <row r="297" s="135" customFormat="1" ht="15.75" customHeight="1" x14ac:dyDescent="0.2"/>
    <row r="298" s="135" customFormat="1" ht="15.75" customHeight="1" x14ac:dyDescent="0.2"/>
    <row r="299" s="135" customFormat="1" ht="15.75" customHeight="1" x14ac:dyDescent="0.2"/>
    <row r="300" s="135" customFormat="1" ht="15.75" customHeight="1" x14ac:dyDescent="0.2"/>
    <row r="301" s="135" customFormat="1" ht="15.75" customHeight="1" x14ac:dyDescent="0.2"/>
    <row r="302" s="135" customFormat="1" ht="15.75" customHeight="1" x14ac:dyDescent="0.2"/>
    <row r="303" s="135" customFormat="1" ht="15.75" customHeight="1" x14ac:dyDescent="0.2"/>
    <row r="304" s="135" customFormat="1" ht="15.75" customHeight="1" x14ac:dyDescent="0.2"/>
    <row r="305" s="135" customFormat="1" ht="15.75" customHeight="1" x14ac:dyDescent="0.2"/>
    <row r="306" s="135" customFormat="1" ht="15.75" customHeight="1" x14ac:dyDescent="0.2"/>
    <row r="307" s="135" customFormat="1" ht="15.75" customHeight="1" x14ac:dyDescent="0.2"/>
    <row r="308" s="135" customFormat="1" ht="15.75" customHeight="1" x14ac:dyDescent="0.2"/>
    <row r="309" s="135" customFormat="1" ht="15.75" customHeight="1" x14ac:dyDescent="0.2"/>
    <row r="310" s="135" customFormat="1" ht="15.75" customHeight="1" x14ac:dyDescent="0.2"/>
    <row r="311" s="135" customFormat="1" ht="15.75" customHeight="1" x14ac:dyDescent="0.2"/>
    <row r="312" s="135" customFormat="1" ht="15.75" customHeight="1" x14ac:dyDescent="0.2"/>
    <row r="313" s="135" customFormat="1" ht="15.75" customHeight="1" x14ac:dyDescent="0.2"/>
    <row r="314" s="135" customFormat="1" ht="15.75" customHeight="1" x14ac:dyDescent="0.2"/>
    <row r="315" s="135" customFormat="1" ht="15.75" customHeight="1" x14ac:dyDescent="0.2"/>
    <row r="316" s="135" customFormat="1" ht="15.75" customHeight="1" x14ac:dyDescent="0.2"/>
    <row r="317" s="135" customFormat="1" ht="15.75" customHeight="1" x14ac:dyDescent="0.2"/>
    <row r="318" s="135" customFormat="1" ht="15.75" customHeight="1" x14ac:dyDescent="0.2"/>
    <row r="319" s="135" customFormat="1" ht="15.75" customHeight="1" x14ac:dyDescent="0.2"/>
    <row r="320" s="135" customFormat="1" ht="15.75" customHeight="1" x14ac:dyDescent="0.2"/>
    <row r="321" s="135" customFormat="1" ht="15.75" customHeight="1" x14ac:dyDescent="0.2"/>
    <row r="322" s="135" customFormat="1" ht="15.75" customHeight="1" x14ac:dyDescent="0.2"/>
    <row r="323" s="135" customFormat="1" ht="15.75" customHeight="1" x14ac:dyDescent="0.2"/>
    <row r="324" s="135" customFormat="1" ht="15.75" customHeight="1" x14ac:dyDescent="0.2"/>
    <row r="325" s="135" customFormat="1" ht="15.75" customHeight="1" x14ac:dyDescent="0.2"/>
    <row r="326" s="135" customFormat="1" ht="15.75" customHeight="1" x14ac:dyDescent="0.2"/>
    <row r="327" s="135" customFormat="1" ht="15.75" customHeight="1" x14ac:dyDescent="0.2"/>
    <row r="328" s="135" customFormat="1" ht="15.75" customHeight="1" x14ac:dyDescent="0.2"/>
    <row r="329" s="135" customFormat="1" ht="15.75" customHeight="1" x14ac:dyDescent="0.2"/>
    <row r="330" s="135" customFormat="1" ht="15.75" customHeight="1" x14ac:dyDescent="0.2"/>
    <row r="331" s="135" customFormat="1" ht="15.75" customHeight="1" x14ac:dyDescent="0.2"/>
    <row r="332" s="135" customFormat="1" ht="15.75" customHeight="1" x14ac:dyDescent="0.2"/>
    <row r="333" s="135" customFormat="1" ht="15.75" customHeight="1" x14ac:dyDescent="0.2"/>
    <row r="334" s="135" customFormat="1" ht="15.75" customHeight="1" x14ac:dyDescent="0.2"/>
    <row r="335" s="135" customFormat="1" ht="15.75" customHeight="1" x14ac:dyDescent="0.2"/>
    <row r="336" s="135" customFormat="1" ht="15.75" customHeight="1" x14ac:dyDescent="0.2"/>
    <row r="337" s="135" customFormat="1" ht="15.75" customHeight="1" x14ac:dyDescent="0.2"/>
    <row r="338" s="135" customFormat="1" ht="15.75" customHeight="1" x14ac:dyDescent="0.2"/>
    <row r="339" s="135" customFormat="1" ht="15.75" customHeight="1" x14ac:dyDescent="0.2"/>
    <row r="340" s="135" customFormat="1" ht="15.75" customHeight="1" x14ac:dyDescent="0.2"/>
    <row r="341" s="135" customFormat="1" ht="15.75" customHeight="1" x14ac:dyDescent="0.2"/>
    <row r="342" s="135" customFormat="1" ht="15.75" customHeight="1" x14ac:dyDescent="0.2"/>
    <row r="343" s="135" customFormat="1" ht="15.75" customHeight="1" x14ac:dyDescent="0.2"/>
    <row r="344" s="135" customFormat="1" ht="15.75" customHeight="1" x14ac:dyDescent="0.2"/>
    <row r="345" s="135" customFormat="1" ht="15.75" customHeight="1" x14ac:dyDescent="0.2"/>
    <row r="346" s="135" customFormat="1" ht="15.75" customHeight="1" x14ac:dyDescent="0.2"/>
    <row r="347" s="135" customFormat="1" ht="15.75" customHeight="1" x14ac:dyDescent="0.2"/>
    <row r="348" s="135" customFormat="1" ht="15.75" customHeight="1" x14ac:dyDescent="0.2"/>
    <row r="349" s="135" customFormat="1" ht="15.75" customHeight="1" x14ac:dyDescent="0.2"/>
    <row r="350" s="135" customFormat="1" ht="15.75" customHeight="1" x14ac:dyDescent="0.2"/>
    <row r="351" s="135" customFormat="1" ht="15.75" customHeight="1" x14ac:dyDescent="0.2"/>
    <row r="352" s="135" customFormat="1" ht="15.75" customHeight="1" x14ac:dyDescent="0.2"/>
    <row r="353" s="135" customFormat="1" ht="15.75" customHeight="1" x14ac:dyDescent="0.2"/>
    <row r="354" s="135" customFormat="1" ht="15.75" customHeight="1" x14ac:dyDescent="0.2"/>
    <row r="355" s="135" customFormat="1" ht="15.75" customHeight="1" x14ac:dyDescent="0.2"/>
    <row r="356" s="135" customFormat="1" ht="15.75" customHeight="1" x14ac:dyDescent="0.2"/>
    <row r="357" s="135" customFormat="1" ht="15.75" customHeight="1" x14ac:dyDescent="0.2"/>
    <row r="358" s="135" customFormat="1" ht="15.75" customHeight="1" x14ac:dyDescent="0.2"/>
    <row r="359" s="135" customFormat="1" ht="15.75" customHeight="1" x14ac:dyDescent="0.2"/>
    <row r="360" s="135" customFormat="1" ht="15.75" customHeight="1" x14ac:dyDescent="0.2"/>
    <row r="361" s="135" customFormat="1" ht="15.75" customHeight="1" x14ac:dyDescent="0.2"/>
    <row r="362" s="135" customFormat="1" ht="15.75" customHeight="1" x14ac:dyDescent="0.2"/>
    <row r="363" s="135" customFormat="1" ht="15.75" customHeight="1" x14ac:dyDescent="0.2"/>
    <row r="364" s="135" customFormat="1" ht="15.75" customHeight="1" x14ac:dyDescent="0.2"/>
    <row r="365" s="135" customFormat="1" ht="15.75" customHeight="1" x14ac:dyDescent="0.2"/>
    <row r="366" s="135" customFormat="1" ht="15.75" customHeight="1" x14ac:dyDescent="0.2"/>
    <row r="367" s="135" customFormat="1" ht="15.75" customHeight="1" x14ac:dyDescent="0.2"/>
    <row r="368" s="135" customFormat="1" ht="15.75" customHeight="1" x14ac:dyDescent="0.2"/>
    <row r="369" s="135" customFormat="1" ht="15.75" customHeight="1" x14ac:dyDescent="0.2"/>
    <row r="370" s="135" customFormat="1" ht="15.75" customHeight="1" x14ac:dyDescent="0.2"/>
    <row r="371" s="135" customFormat="1" ht="15.75" customHeight="1" x14ac:dyDescent="0.2"/>
    <row r="372" s="135" customFormat="1" ht="15.75" customHeight="1" x14ac:dyDescent="0.2"/>
    <row r="373" s="135" customFormat="1" ht="15.75" customHeight="1" x14ac:dyDescent="0.2"/>
    <row r="374" s="135" customFormat="1" ht="15.75" customHeight="1" x14ac:dyDescent="0.2"/>
    <row r="375" s="135" customFormat="1" ht="15.75" customHeight="1" x14ac:dyDescent="0.2"/>
    <row r="376" s="135" customFormat="1" ht="15.75" customHeight="1" x14ac:dyDescent="0.2"/>
    <row r="377" s="135" customFormat="1" ht="15.75" customHeight="1" x14ac:dyDescent="0.2"/>
    <row r="378" s="135" customFormat="1" ht="15.75" customHeight="1" x14ac:dyDescent="0.2"/>
    <row r="379" s="135" customFormat="1" ht="15.75" customHeight="1" x14ac:dyDescent="0.2"/>
    <row r="380" s="135" customFormat="1" ht="15.75" customHeight="1" x14ac:dyDescent="0.2"/>
    <row r="381" s="135" customFormat="1" ht="15.75" customHeight="1" x14ac:dyDescent="0.2"/>
    <row r="382" s="135" customFormat="1" ht="15.75" customHeight="1" x14ac:dyDescent="0.2"/>
    <row r="383" s="135" customFormat="1" ht="15.75" customHeight="1" x14ac:dyDescent="0.2"/>
    <row r="384" s="135" customFormat="1" ht="15.75" customHeight="1" x14ac:dyDescent="0.2"/>
    <row r="385" s="135" customFormat="1" ht="15.75" customHeight="1" x14ac:dyDescent="0.2"/>
    <row r="386" s="135" customFormat="1" ht="15.75" customHeight="1" x14ac:dyDescent="0.2"/>
    <row r="387" s="135" customFormat="1" ht="15.75" customHeight="1" x14ac:dyDescent="0.2"/>
    <row r="388" s="135" customFormat="1" ht="15.75" customHeight="1" x14ac:dyDescent="0.2"/>
    <row r="389" s="135" customFormat="1" ht="15.75" customHeight="1" x14ac:dyDescent="0.2"/>
    <row r="390" s="135" customFormat="1" ht="15.75" customHeight="1" x14ac:dyDescent="0.2"/>
    <row r="391" s="135" customFormat="1" ht="15.75" customHeight="1" x14ac:dyDescent="0.2"/>
    <row r="392" s="135" customFormat="1" ht="15.75" customHeight="1" x14ac:dyDescent="0.2"/>
    <row r="393" s="135" customFormat="1" ht="15.75" customHeight="1" x14ac:dyDescent="0.2"/>
    <row r="394" s="135" customFormat="1" ht="15.75" customHeight="1" x14ac:dyDescent="0.2"/>
    <row r="395" s="135" customFormat="1" ht="15.75" customHeight="1" x14ac:dyDescent="0.2"/>
    <row r="396" s="135" customFormat="1" ht="15.75" customHeight="1" x14ac:dyDescent="0.2"/>
    <row r="397" s="135" customFormat="1" ht="15.75" customHeight="1" x14ac:dyDescent="0.2"/>
    <row r="398" s="135" customFormat="1" ht="15.75" customHeight="1" x14ac:dyDescent="0.2"/>
    <row r="399" s="135" customFormat="1" ht="15.75" customHeight="1" x14ac:dyDescent="0.2"/>
    <row r="400" s="135" customFormat="1" ht="15.75" customHeight="1" x14ac:dyDescent="0.2"/>
    <row r="401" s="135" customFormat="1" ht="15.75" customHeight="1" x14ac:dyDescent="0.2"/>
    <row r="402" s="135" customFormat="1" ht="15.75" customHeight="1" x14ac:dyDescent="0.2"/>
    <row r="403" s="135" customFormat="1" ht="15.75" customHeight="1" x14ac:dyDescent="0.2"/>
    <row r="404" s="135" customFormat="1" ht="15.75" customHeight="1" x14ac:dyDescent="0.2"/>
    <row r="405" s="135" customFormat="1" ht="15.75" customHeight="1" x14ac:dyDescent="0.2"/>
    <row r="406" s="135" customFormat="1" ht="15.75" customHeight="1" x14ac:dyDescent="0.2"/>
    <row r="407" s="135" customFormat="1" ht="15.75" customHeight="1" x14ac:dyDescent="0.2"/>
    <row r="408" s="135" customFormat="1" ht="15.75" customHeight="1" x14ac:dyDescent="0.2"/>
    <row r="409" s="135" customFormat="1" ht="15.75" customHeight="1" x14ac:dyDescent="0.2"/>
    <row r="410" s="135" customFormat="1" ht="15.75" customHeight="1" x14ac:dyDescent="0.2"/>
    <row r="411" s="135" customFormat="1" ht="15.75" customHeight="1" x14ac:dyDescent="0.2"/>
    <row r="412" s="135" customFormat="1" ht="15.75" customHeight="1" x14ac:dyDescent="0.2"/>
    <row r="413" s="135" customFormat="1" ht="15.75" customHeight="1" x14ac:dyDescent="0.2"/>
    <row r="414" s="135" customFormat="1" ht="15.75" customHeight="1" x14ac:dyDescent="0.2"/>
    <row r="415" s="135" customFormat="1" ht="15.75" customHeight="1" x14ac:dyDescent="0.2"/>
    <row r="416" s="135" customFormat="1" ht="15.75" customHeight="1" x14ac:dyDescent="0.2"/>
    <row r="417" s="135" customFormat="1" ht="15.75" customHeight="1" x14ac:dyDescent="0.2"/>
    <row r="418" s="135" customFormat="1" ht="15.75" customHeight="1" x14ac:dyDescent="0.2"/>
    <row r="419" s="135" customFormat="1" ht="15.75" customHeight="1" x14ac:dyDescent="0.2"/>
    <row r="420" s="135" customFormat="1" ht="15.75" customHeight="1" x14ac:dyDescent="0.2"/>
    <row r="421" s="135" customFormat="1" ht="15.75" customHeight="1" x14ac:dyDescent="0.2"/>
    <row r="422" s="135" customFormat="1" ht="15.75" customHeight="1" x14ac:dyDescent="0.2"/>
    <row r="423" s="135" customFormat="1" ht="15.75" customHeight="1" x14ac:dyDescent="0.2"/>
    <row r="424" s="135" customFormat="1" ht="15.75" customHeight="1" x14ac:dyDescent="0.2"/>
    <row r="425" s="135" customFormat="1" ht="15.75" customHeight="1" x14ac:dyDescent="0.2"/>
    <row r="426" s="135" customFormat="1" ht="15.75" customHeight="1" x14ac:dyDescent="0.2"/>
    <row r="427" s="135" customFormat="1" ht="15.75" customHeight="1" x14ac:dyDescent="0.2"/>
    <row r="428" s="135" customFormat="1" ht="15.75" customHeight="1" x14ac:dyDescent="0.2"/>
    <row r="429" s="135" customFormat="1" ht="15.75" customHeight="1" x14ac:dyDescent="0.2"/>
    <row r="430" s="135" customFormat="1" ht="15.75" customHeight="1" x14ac:dyDescent="0.2"/>
    <row r="431" s="135" customFormat="1" ht="15.75" customHeight="1" x14ac:dyDescent="0.2"/>
    <row r="432" s="135" customFormat="1" ht="15.75" customHeight="1" x14ac:dyDescent="0.2"/>
    <row r="433" s="135" customFormat="1" ht="15.75" customHeight="1" x14ac:dyDescent="0.2"/>
    <row r="434" s="135" customFormat="1" ht="15.75" customHeight="1" x14ac:dyDescent="0.2"/>
    <row r="435" s="135" customFormat="1" ht="15.75" customHeight="1" x14ac:dyDescent="0.2"/>
    <row r="436" s="135" customFormat="1" ht="15.75" customHeight="1" x14ac:dyDescent="0.2"/>
    <row r="437" s="135" customFormat="1" ht="15.75" customHeight="1" x14ac:dyDescent="0.2"/>
    <row r="438" s="135" customFormat="1" ht="15.75" customHeight="1" x14ac:dyDescent="0.2"/>
    <row r="439" s="135" customFormat="1" ht="15.75" customHeight="1" x14ac:dyDescent="0.2"/>
    <row r="440" s="135" customFormat="1" ht="15.75" customHeight="1" x14ac:dyDescent="0.2"/>
    <row r="441" s="135" customFormat="1" ht="15.75" customHeight="1" x14ac:dyDescent="0.2"/>
    <row r="442" s="135" customFormat="1" ht="15.75" customHeight="1" x14ac:dyDescent="0.2"/>
    <row r="443" s="135" customFormat="1" ht="15.75" customHeight="1" x14ac:dyDescent="0.2"/>
    <row r="444" s="135" customFormat="1" ht="15.75" customHeight="1" x14ac:dyDescent="0.2"/>
    <row r="445" s="135" customFormat="1" ht="15.75" customHeight="1" x14ac:dyDescent="0.2"/>
    <row r="446" s="135" customFormat="1" ht="15.75" customHeight="1" x14ac:dyDescent="0.2"/>
    <row r="447" s="135" customFormat="1" ht="15.75" customHeight="1" x14ac:dyDescent="0.2"/>
    <row r="448" s="135" customFormat="1" ht="15.75" customHeight="1" x14ac:dyDescent="0.2"/>
    <row r="449" s="135" customFormat="1" ht="15.75" customHeight="1" x14ac:dyDescent="0.2"/>
    <row r="450" s="135" customFormat="1" ht="15.75" customHeight="1" x14ac:dyDescent="0.2"/>
    <row r="451" s="135" customFormat="1" ht="15.75" customHeight="1" x14ac:dyDescent="0.2"/>
    <row r="452" s="135" customFormat="1" ht="15.75" customHeight="1" x14ac:dyDescent="0.2"/>
    <row r="453" s="135" customFormat="1" ht="15.75" customHeight="1" x14ac:dyDescent="0.2"/>
    <row r="454" s="135" customFormat="1" ht="15.75" customHeight="1" x14ac:dyDescent="0.2"/>
    <row r="455" s="135" customFormat="1" ht="15.75" customHeight="1" x14ac:dyDescent="0.2"/>
    <row r="456" s="135" customFormat="1" ht="15.75" customHeight="1" x14ac:dyDescent="0.2"/>
    <row r="457" s="135" customFormat="1" ht="15.75" customHeight="1" x14ac:dyDescent="0.2"/>
    <row r="458" s="135" customFormat="1" ht="15.75" customHeight="1" x14ac:dyDescent="0.2"/>
    <row r="459" s="135" customFormat="1" ht="15.75" customHeight="1" x14ac:dyDescent="0.2"/>
    <row r="460" s="135" customFormat="1" ht="15.75" customHeight="1" x14ac:dyDescent="0.2"/>
    <row r="461" s="135" customFormat="1" ht="15.75" customHeight="1" x14ac:dyDescent="0.2"/>
    <row r="462" s="135" customFormat="1" ht="15.75" customHeight="1" x14ac:dyDescent="0.2"/>
    <row r="463" s="135" customFormat="1" ht="15.75" customHeight="1" x14ac:dyDescent="0.2"/>
    <row r="464" s="135" customFormat="1" ht="15.75" customHeight="1" x14ac:dyDescent="0.2"/>
    <row r="465" s="135" customFormat="1" ht="15.75" customHeight="1" x14ac:dyDescent="0.2"/>
    <row r="466" s="135" customFormat="1" ht="15.75" customHeight="1" x14ac:dyDescent="0.2"/>
    <row r="467" s="135" customFormat="1" ht="15.75" customHeight="1" x14ac:dyDescent="0.2"/>
    <row r="468" s="135" customFormat="1" ht="15.75" customHeight="1" x14ac:dyDescent="0.2"/>
    <row r="469" s="135" customFormat="1" ht="15.75" customHeight="1" x14ac:dyDescent="0.2"/>
    <row r="470" s="135" customFormat="1" ht="15.75" customHeight="1" x14ac:dyDescent="0.2"/>
    <row r="471" s="135" customFormat="1" ht="15.75" customHeight="1" x14ac:dyDescent="0.2"/>
    <row r="472" s="135" customFormat="1" ht="15.75" customHeight="1" x14ac:dyDescent="0.2"/>
    <row r="473" s="135" customFormat="1" ht="15.75" customHeight="1" x14ac:dyDescent="0.2"/>
    <row r="474" s="135" customFormat="1" ht="15.75" customHeight="1" x14ac:dyDescent="0.2"/>
    <row r="475" s="135" customFormat="1" ht="15.75" customHeight="1" x14ac:dyDescent="0.2"/>
    <row r="476" s="135" customFormat="1" ht="15.75" customHeight="1" x14ac:dyDescent="0.2"/>
    <row r="477" s="135" customFormat="1" ht="15.75" customHeight="1" x14ac:dyDescent="0.2"/>
    <row r="478" s="135" customFormat="1" ht="15.75" customHeight="1" x14ac:dyDescent="0.2"/>
    <row r="479" s="135" customFormat="1" ht="15.75" customHeight="1" x14ac:dyDescent="0.2"/>
    <row r="480" s="135" customFormat="1" ht="15.75" customHeight="1" x14ac:dyDescent="0.2"/>
    <row r="481" s="135" customFormat="1" ht="15.75" customHeight="1" x14ac:dyDescent="0.2"/>
    <row r="482" s="135" customFormat="1" ht="15.75" customHeight="1" x14ac:dyDescent="0.2"/>
    <row r="483" s="135" customFormat="1" ht="15.75" customHeight="1" x14ac:dyDescent="0.2"/>
    <row r="484" s="135" customFormat="1" ht="15.75" customHeight="1" x14ac:dyDescent="0.2"/>
    <row r="485" s="135" customFormat="1" ht="15.75" customHeight="1" x14ac:dyDescent="0.2"/>
    <row r="486" s="135" customFormat="1" ht="15.75" customHeight="1" x14ac:dyDescent="0.2"/>
    <row r="487" s="135" customFormat="1" ht="15.75" customHeight="1" x14ac:dyDescent="0.2"/>
    <row r="488" s="135" customFormat="1" ht="15.75" customHeight="1" x14ac:dyDescent="0.2"/>
    <row r="489" s="135" customFormat="1" ht="15.75" customHeight="1" x14ac:dyDescent="0.2"/>
    <row r="490" s="135" customFormat="1" ht="15.75" customHeight="1" x14ac:dyDescent="0.2"/>
    <row r="491" s="135" customFormat="1" ht="15.75" customHeight="1" x14ac:dyDescent="0.2"/>
    <row r="492" s="135" customFormat="1" ht="15.75" customHeight="1" x14ac:dyDescent="0.2"/>
    <row r="493" s="135" customFormat="1" ht="15.75" customHeight="1" x14ac:dyDescent="0.2"/>
    <row r="494" s="135" customFormat="1" ht="15.75" customHeight="1" x14ac:dyDescent="0.2"/>
    <row r="495" s="135" customFormat="1" ht="15.75" customHeight="1" x14ac:dyDescent="0.2"/>
    <row r="496" s="135" customFormat="1" ht="15.75" customHeight="1" x14ac:dyDescent="0.2"/>
    <row r="497" s="135" customFormat="1" ht="15.75" customHeight="1" x14ac:dyDescent="0.2"/>
    <row r="498" s="135" customFormat="1" ht="15.75" customHeight="1" x14ac:dyDescent="0.2"/>
    <row r="499" s="135" customFormat="1" ht="15.75" customHeight="1" x14ac:dyDescent="0.2"/>
    <row r="500" s="135" customFormat="1" ht="15.75" customHeight="1" x14ac:dyDescent="0.2"/>
    <row r="501" s="135" customFormat="1" ht="15.75" customHeight="1" x14ac:dyDescent="0.2"/>
    <row r="502" s="135" customFormat="1" ht="15.75" customHeight="1" x14ac:dyDescent="0.2"/>
    <row r="503" s="135" customFormat="1" ht="15.75" customHeight="1" x14ac:dyDescent="0.2"/>
    <row r="504" s="135" customFormat="1" ht="15.75" customHeight="1" x14ac:dyDescent="0.2"/>
    <row r="505" s="135" customFormat="1" ht="15.75" customHeight="1" x14ac:dyDescent="0.2"/>
    <row r="506" s="135" customFormat="1" ht="15.75" customHeight="1" x14ac:dyDescent="0.2"/>
    <row r="507" s="135" customFormat="1" ht="15.75" customHeight="1" x14ac:dyDescent="0.2"/>
    <row r="508" s="135" customFormat="1" ht="15.75" customHeight="1" x14ac:dyDescent="0.2"/>
    <row r="509" s="135" customFormat="1" ht="15.75" customHeight="1" x14ac:dyDescent="0.2"/>
    <row r="510" s="135" customFormat="1" ht="15.75" customHeight="1" x14ac:dyDescent="0.2"/>
    <row r="511" s="135" customFormat="1" ht="15.75" customHeight="1" x14ac:dyDescent="0.2"/>
    <row r="512" s="135" customFormat="1" ht="15.75" customHeight="1" x14ac:dyDescent="0.2"/>
    <row r="513" s="135" customFormat="1" ht="15.75" customHeight="1" x14ac:dyDescent="0.2"/>
    <row r="514" s="135" customFormat="1" ht="15.75" customHeight="1" x14ac:dyDescent="0.2"/>
    <row r="515" s="135" customFormat="1" ht="15.75" customHeight="1" x14ac:dyDescent="0.2"/>
    <row r="516" s="135" customFormat="1" ht="15.75" customHeight="1" x14ac:dyDescent="0.2"/>
    <row r="517" s="135" customFormat="1" ht="15.75" customHeight="1" x14ac:dyDescent="0.2"/>
    <row r="518" s="135" customFormat="1" ht="15.75" customHeight="1" x14ac:dyDescent="0.2"/>
    <row r="519" s="135" customFormat="1" ht="15.75" customHeight="1" x14ac:dyDescent="0.2"/>
    <row r="520" s="135" customFormat="1" ht="15.75" customHeight="1" x14ac:dyDescent="0.2"/>
    <row r="521" s="135" customFormat="1" ht="15.75" customHeight="1" x14ac:dyDescent="0.2"/>
    <row r="522" s="135" customFormat="1" ht="15.75" customHeight="1" x14ac:dyDescent="0.2"/>
    <row r="523" s="135" customFormat="1" ht="15.75" customHeight="1" x14ac:dyDescent="0.2"/>
    <row r="524" s="135" customFormat="1" ht="15.75" customHeight="1" x14ac:dyDescent="0.2"/>
    <row r="525" s="135" customFormat="1" ht="15.75" customHeight="1" x14ac:dyDescent="0.2"/>
    <row r="526" s="135" customFormat="1" ht="15.75" customHeight="1" x14ac:dyDescent="0.2"/>
    <row r="527" s="135" customFormat="1" ht="15.75" customHeight="1" x14ac:dyDescent="0.2"/>
    <row r="528" s="135" customFormat="1" ht="15.75" customHeight="1" x14ac:dyDescent="0.2"/>
    <row r="529" s="135" customFormat="1" ht="15.75" customHeight="1" x14ac:dyDescent="0.2"/>
    <row r="530" s="135" customFormat="1" ht="15.75" customHeight="1" x14ac:dyDescent="0.2"/>
    <row r="531" s="135" customFormat="1" ht="15.75" customHeight="1" x14ac:dyDescent="0.2"/>
    <row r="532" s="135" customFormat="1" ht="15.75" customHeight="1" x14ac:dyDescent="0.2"/>
    <row r="533" s="135" customFormat="1" ht="15.75" customHeight="1" x14ac:dyDescent="0.2"/>
    <row r="534" s="135" customFormat="1" ht="15.75" customHeight="1" x14ac:dyDescent="0.2"/>
    <row r="535" s="135" customFormat="1" ht="15.75" customHeight="1" x14ac:dyDescent="0.2"/>
    <row r="536" s="135" customFormat="1" ht="15.75" customHeight="1" x14ac:dyDescent="0.2"/>
    <row r="537" s="135" customFormat="1" ht="15.75" customHeight="1" x14ac:dyDescent="0.2"/>
    <row r="538" s="135" customFormat="1" ht="15.75" customHeight="1" x14ac:dyDescent="0.2"/>
    <row r="539" s="135" customFormat="1" ht="15.75" customHeight="1" x14ac:dyDescent="0.2"/>
    <row r="540" s="135" customFormat="1" ht="15.75" customHeight="1" x14ac:dyDescent="0.2"/>
    <row r="541" s="135" customFormat="1" ht="15.75" customHeight="1" x14ac:dyDescent="0.2"/>
    <row r="542" s="135" customFormat="1" ht="15.75" customHeight="1" x14ac:dyDescent="0.2"/>
    <row r="543" s="135" customFormat="1" ht="15.75" customHeight="1" x14ac:dyDescent="0.2"/>
    <row r="544" s="135" customFormat="1" ht="15.75" customHeight="1" x14ac:dyDescent="0.2"/>
    <row r="545" s="135" customFormat="1" ht="15.75" customHeight="1" x14ac:dyDescent="0.2"/>
    <row r="546" s="135" customFormat="1" ht="15.75" customHeight="1" x14ac:dyDescent="0.2"/>
    <row r="547" s="135" customFormat="1" ht="15.75" customHeight="1" x14ac:dyDescent="0.2"/>
    <row r="548" s="135" customFormat="1" ht="15.75" customHeight="1" x14ac:dyDescent="0.2"/>
    <row r="549" s="135" customFormat="1" ht="15.75" customHeight="1" x14ac:dyDescent="0.2"/>
    <row r="550" s="135" customFormat="1" ht="15.75" customHeight="1" x14ac:dyDescent="0.2"/>
    <row r="551" s="135" customFormat="1" ht="15.75" customHeight="1" x14ac:dyDescent="0.2"/>
    <row r="552" s="135" customFormat="1" ht="15.75" customHeight="1" x14ac:dyDescent="0.2"/>
    <row r="553" s="135" customFormat="1" ht="15.75" customHeight="1" x14ac:dyDescent="0.2"/>
    <row r="554" s="135" customFormat="1" ht="15.75" customHeight="1" x14ac:dyDescent="0.2"/>
    <row r="555" s="135" customFormat="1" ht="15.75" customHeight="1" x14ac:dyDescent="0.2"/>
    <row r="556" s="135" customFormat="1" ht="15.75" customHeight="1" x14ac:dyDescent="0.2"/>
    <row r="557" s="135" customFormat="1" ht="15.75" customHeight="1" x14ac:dyDescent="0.2"/>
    <row r="558" s="135" customFormat="1" ht="15.75" customHeight="1" x14ac:dyDescent="0.2"/>
    <row r="559" s="135" customFormat="1" ht="15.75" customHeight="1" x14ac:dyDescent="0.2"/>
    <row r="560" s="135" customFormat="1" ht="15.75" customHeight="1" x14ac:dyDescent="0.2"/>
    <row r="561" s="135" customFormat="1" ht="15.75" customHeight="1" x14ac:dyDescent="0.2"/>
    <row r="562" s="135" customFormat="1" ht="15.75" customHeight="1" x14ac:dyDescent="0.2"/>
    <row r="563" s="135" customFormat="1" ht="15.75" customHeight="1" x14ac:dyDescent="0.2"/>
    <row r="564" s="135" customFormat="1" ht="15.75" customHeight="1" x14ac:dyDescent="0.2"/>
    <row r="565" s="135" customFormat="1" ht="15.75" customHeight="1" x14ac:dyDescent="0.2"/>
    <row r="566" s="135" customFormat="1" ht="15.75" customHeight="1" x14ac:dyDescent="0.2"/>
    <row r="567" s="135" customFormat="1" ht="15.75" customHeight="1" x14ac:dyDescent="0.2"/>
    <row r="568" s="135" customFormat="1" ht="15.75" customHeight="1" x14ac:dyDescent="0.2"/>
    <row r="569" s="135" customFormat="1" ht="15.75" customHeight="1" x14ac:dyDescent="0.2"/>
    <row r="570" s="135" customFormat="1" ht="15.75" customHeight="1" x14ac:dyDescent="0.2"/>
    <row r="571" s="135" customFormat="1" ht="15.75" customHeight="1" x14ac:dyDescent="0.2"/>
    <row r="572" s="135" customFormat="1" ht="15.75" customHeight="1" x14ac:dyDescent="0.2"/>
    <row r="573" s="135" customFormat="1" ht="15.75" customHeight="1" x14ac:dyDescent="0.2"/>
    <row r="574" s="135" customFormat="1" ht="15.75" customHeight="1" x14ac:dyDescent="0.2"/>
    <row r="575" s="135" customFormat="1" ht="15.75" customHeight="1" x14ac:dyDescent="0.2"/>
    <row r="576" s="135" customFormat="1" ht="15.75" customHeight="1" x14ac:dyDescent="0.2"/>
    <row r="577" s="135" customFormat="1" ht="15.75" customHeight="1" x14ac:dyDescent="0.2"/>
    <row r="578" s="135" customFormat="1" ht="15.75" customHeight="1" x14ac:dyDescent="0.2"/>
    <row r="579" s="135" customFormat="1" ht="15.75" customHeight="1" x14ac:dyDescent="0.2"/>
    <row r="580" s="135" customFormat="1" ht="15.75" customHeight="1" x14ac:dyDescent="0.2"/>
    <row r="581" s="135" customFormat="1" ht="15.75" customHeight="1" x14ac:dyDescent="0.2"/>
    <row r="582" s="135" customFormat="1" ht="15.75" customHeight="1" x14ac:dyDescent="0.2"/>
    <row r="583" s="135" customFormat="1" ht="15.75" customHeight="1" x14ac:dyDescent="0.2"/>
    <row r="584" s="135" customFormat="1" ht="15.75" customHeight="1" x14ac:dyDescent="0.2"/>
    <row r="585" s="135" customFormat="1" ht="15.75" customHeight="1" x14ac:dyDescent="0.2"/>
    <row r="586" s="135" customFormat="1" ht="15.75" customHeight="1" x14ac:dyDescent="0.2"/>
    <row r="587" s="135" customFormat="1" ht="15.75" customHeight="1" x14ac:dyDescent="0.2"/>
    <row r="588" s="135" customFormat="1" ht="15.75" customHeight="1" x14ac:dyDescent="0.2"/>
    <row r="589" s="135" customFormat="1" ht="15.75" customHeight="1" x14ac:dyDescent="0.2"/>
    <row r="590" s="135" customFormat="1" ht="15.75" customHeight="1" x14ac:dyDescent="0.2"/>
    <row r="591" s="135" customFormat="1" ht="15.75" customHeight="1" x14ac:dyDescent="0.2"/>
    <row r="592" s="135" customFormat="1" ht="15.75" customHeight="1" x14ac:dyDescent="0.2"/>
    <row r="593" s="135" customFormat="1" ht="15.75" customHeight="1" x14ac:dyDescent="0.2"/>
    <row r="594" s="135" customFormat="1" ht="15.75" customHeight="1" x14ac:dyDescent="0.2"/>
    <row r="595" s="135" customFormat="1" ht="15.75" customHeight="1" x14ac:dyDescent="0.2"/>
    <row r="596" s="135" customFormat="1" ht="15.75" customHeight="1" x14ac:dyDescent="0.2"/>
    <row r="597" s="135" customFormat="1" ht="15.75" customHeight="1" x14ac:dyDescent="0.2"/>
    <row r="598" s="135" customFormat="1" ht="15.75" customHeight="1" x14ac:dyDescent="0.2"/>
    <row r="599" s="135" customFormat="1" ht="15.75" customHeight="1" x14ac:dyDescent="0.2"/>
    <row r="600" s="135" customFormat="1" ht="15.75" customHeight="1" x14ac:dyDescent="0.2"/>
    <row r="601" s="135" customFormat="1" ht="15.75" customHeight="1" x14ac:dyDescent="0.2"/>
    <row r="602" s="135" customFormat="1" ht="15.75" customHeight="1" x14ac:dyDescent="0.2"/>
    <row r="603" s="135" customFormat="1" ht="15.75" customHeight="1" x14ac:dyDescent="0.2"/>
    <row r="604" s="135" customFormat="1" ht="15.75" customHeight="1" x14ac:dyDescent="0.2"/>
    <row r="605" s="135" customFormat="1" ht="15.75" customHeight="1" x14ac:dyDescent="0.2"/>
    <row r="606" s="135" customFormat="1" ht="15.75" customHeight="1" x14ac:dyDescent="0.2"/>
    <row r="607" s="135" customFormat="1" ht="15.75" customHeight="1" x14ac:dyDescent="0.2"/>
    <row r="608" s="135" customFormat="1" ht="15.75" customHeight="1" x14ac:dyDescent="0.2"/>
    <row r="609" s="135" customFormat="1" ht="15.75" customHeight="1" x14ac:dyDescent="0.2"/>
    <row r="610" s="135" customFormat="1" ht="15.75" customHeight="1" x14ac:dyDescent="0.2"/>
    <row r="611" s="135" customFormat="1" ht="15.75" customHeight="1" x14ac:dyDescent="0.2"/>
    <row r="612" s="135" customFormat="1" ht="15.75" customHeight="1" x14ac:dyDescent="0.2"/>
    <row r="613" s="135" customFormat="1" ht="15.75" customHeight="1" x14ac:dyDescent="0.2"/>
    <row r="614" s="135" customFormat="1" ht="15.75" customHeight="1" x14ac:dyDescent="0.2"/>
    <row r="615" s="135" customFormat="1" ht="15.75" customHeight="1" x14ac:dyDescent="0.2"/>
    <row r="616" s="135" customFormat="1" ht="15.75" customHeight="1" x14ac:dyDescent="0.2"/>
    <row r="617" s="135" customFormat="1" ht="15.75" customHeight="1" x14ac:dyDescent="0.2"/>
    <row r="618" s="135" customFormat="1" ht="15.75" customHeight="1" x14ac:dyDescent="0.2"/>
    <row r="619" s="135" customFormat="1" ht="15.75" customHeight="1" x14ac:dyDescent="0.2"/>
    <row r="620" s="135" customFormat="1" ht="15.75" customHeight="1" x14ac:dyDescent="0.2"/>
    <row r="621" s="135" customFormat="1" ht="15.75" customHeight="1" x14ac:dyDescent="0.2"/>
    <row r="622" s="135" customFormat="1" ht="15.75" customHeight="1" x14ac:dyDescent="0.2"/>
    <row r="623" s="135" customFormat="1" ht="15.75" customHeight="1" x14ac:dyDescent="0.2"/>
    <row r="624" s="135" customFormat="1" ht="15.75" customHeight="1" x14ac:dyDescent="0.2"/>
    <row r="625" s="135" customFormat="1" ht="15.75" customHeight="1" x14ac:dyDescent="0.2"/>
    <row r="626" s="135" customFormat="1" ht="15.75" customHeight="1" x14ac:dyDescent="0.2"/>
    <row r="627" s="135" customFormat="1" ht="15.75" customHeight="1" x14ac:dyDescent="0.2"/>
    <row r="628" s="135" customFormat="1" ht="15.75" customHeight="1" x14ac:dyDescent="0.2"/>
    <row r="629" s="135" customFormat="1" ht="15.75" customHeight="1" x14ac:dyDescent="0.2"/>
    <row r="630" s="135" customFormat="1" ht="15.75" customHeight="1" x14ac:dyDescent="0.2"/>
    <row r="631" s="135" customFormat="1" ht="15.75" customHeight="1" x14ac:dyDescent="0.2"/>
    <row r="632" s="135" customFormat="1" ht="15.75" customHeight="1" x14ac:dyDescent="0.2"/>
    <row r="633" s="135" customFormat="1" ht="15.75" customHeight="1" x14ac:dyDescent="0.2"/>
    <row r="634" s="135" customFormat="1" ht="15.75" customHeight="1" x14ac:dyDescent="0.2"/>
    <row r="635" s="135" customFormat="1" ht="15.75" customHeight="1" x14ac:dyDescent="0.2"/>
    <row r="636" s="135" customFormat="1" ht="15.75" customHeight="1" x14ac:dyDescent="0.2"/>
    <row r="637" s="135" customFormat="1" ht="15.75" customHeight="1" x14ac:dyDescent="0.2"/>
    <row r="638" s="135" customFormat="1" ht="15.75" customHeight="1" x14ac:dyDescent="0.2"/>
    <row r="639" s="135" customFormat="1" ht="15.75" customHeight="1" x14ac:dyDescent="0.2"/>
    <row r="640" s="135" customFormat="1" ht="15.75" customHeight="1" x14ac:dyDescent="0.2"/>
    <row r="641" s="135" customFormat="1" ht="15.75" customHeight="1" x14ac:dyDescent="0.2"/>
    <row r="642" s="135" customFormat="1" ht="15.75" customHeight="1" x14ac:dyDescent="0.2"/>
    <row r="643" s="135" customFormat="1" ht="15.75" customHeight="1" x14ac:dyDescent="0.2"/>
    <row r="644" s="135" customFormat="1" ht="15.75" customHeight="1" x14ac:dyDescent="0.2"/>
    <row r="645" s="135" customFormat="1" ht="15.75" customHeight="1" x14ac:dyDescent="0.2"/>
    <row r="646" s="135" customFormat="1" ht="15.75" customHeight="1" x14ac:dyDescent="0.2"/>
    <row r="647" s="135" customFormat="1" ht="15.75" customHeight="1" x14ac:dyDescent="0.2"/>
    <row r="648" s="135" customFormat="1" ht="15.75" customHeight="1" x14ac:dyDescent="0.2"/>
    <row r="649" s="135" customFormat="1" ht="15.75" customHeight="1" x14ac:dyDescent="0.2"/>
    <row r="650" s="135" customFormat="1" ht="15.75" customHeight="1" x14ac:dyDescent="0.2"/>
    <row r="651" s="135" customFormat="1" ht="15.75" customHeight="1" x14ac:dyDescent="0.2"/>
    <row r="652" s="135" customFormat="1" ht="15.75" customHeight="1" x14ac:dyDescent="0.2"/>
    <row r="653" s="135" customFormat="1" ht="15.75" customHeight="1" x14ac:dyDescent="0.2"/>
    <row r="654" s="135" customFormat="1" ht="15.75" customHeight="1" x14ac:dyDescent="0.2"/>
    <row r="655" s="135" customFormat="1" ht="15.75" customHeight="1" x14ac:dyDescent="0.2"/>
    <row r="656" s="135" customFormat="1" ht="15.75" customHeight="1" x14ac:dyDescent="0.2"/>
    <row r="657" s="135" customFormat="1" ht="15.75" customHeight="1" x14ac:dyDescent="0.2"/>
    <row r="658" s="135" customFormat="1" ht="15.75" customHeight="1" x14ac:dyDescent="0.2"/>
    <row r="659" s="135" customFormat="1" ht="15.75" customHeight="1" x14ac:dyDescent="0.2"/>
    <row r="660" s="135" customFormat="1" ht="15.75" customHeight="1" x14ac:dyDescent="0.2"/>
    <row r="661" s="135" customFormat="1" ht="15.75" customHeight="1" x14ac:dyDescent="0.2"/>
    <row r="662" s="135" customFormat="1" ht="15.75" customHeight="1" x14ac:dyDescent="0.2"/>
    <row r="663" s="135" customFormat="1" ht="15.75" customHeight="1" x14ac:dyDescent="0.2"/>
    <row r="664" s="135" customFormat="1" ht="15.75" customHeight="1" x14ac:dyDescent="0.2"/>
    <row r="665" s="135" customFormat="1" ht="15.75" customHeight="1" x14ac:dyDescent="0.2"/>
    <row r="666" s="135" customFormat="1" ht="15.75" customHeight="1" x14ac:dyDescent="0.2"/>
    <row r="667" s="135" customFormat="1" ht="15.75" customHeight="1" x14ac:dyDescent="0.2"/>
    <row r="668" s="135" customFormat="1" ht="15.75" customHeight="1" x14ac:dyDescent="0.2"/>
    <row r="669" s="135" customFormat="1" ht="15.75" customHeight="1" x14ac:dyDescent="0.2"/>
    <row r="670" s="135" customFormat="1" ht="15.75" customHeight="1" x14ac:dyDescent="0.2"/>
    <row r="671" s="135" customFormat="1" ht="15.75" customHeight="1" x14ac:dyDescent="0.2"/>
    <row r="672" s="135" customFormat="1" ht="15.75" customHeight="1" x14ac:dyDescent="0.2"/>
    <row r="673" s="135" customFormat="1" ht="15.75" customHeight="1" x14ac:dyDescent="0.2"/>
    <row r="674" s="135" customFormat="1" ht="15.75" customHeight="1" x14ac:dyDescent="0.2"/>
    <row r="675" s="135" customFormat="1" ht="15.75" customHeight="1" x14ac:dyDescent="0.2"/>
    <row r="676" s="135" customFormat="1" ht="15.75" customHeight="1" x14ac:dyDescent="0.2"/>
    <row r="677" s="135" customFormat="1" ht="15.75" customHeight="1" x14ac:dyDescent="0.2"/>
    <row r="678" s="135" customFormat="1" ht="15.75" customHeight="1" x14ac:dyDescent="0.2"/>
    <row r="679" s="135" customFormat="1" ht="15.75" customHeight="1" x14ac:dyDescent="0.2"/>
    <row r="680" s="135" customFormat="1" ht="15.75" customHeight="1" x14ac:dyDescent="0.2"/>
    <row r="681" s="135" customFormat="1" ht="15.75" customHeight="1" x14ac:dyDescent="0.2"/>
    <row r="682" s="135" customFormat="1" ht="15.75" customHeight="1" x14ac:dyDescent="0.2"/>
    <row r="683" s="135" customFormat="1" ht="15.75" customHeight="1" x14ac:dyDescent="0.2"/>
    <row r="684" s="135" customFormat="1" ht="15.75" customHeight="1" x14ac:dyDescent="0.2"/>
    <row r="685" s="135" customFormat="1" ht="15.75" customHeight="1" x14ac:dyDescent="0.2"/>
    <row r="686" s="135" customFormat="1" ht="15.75" customHeight="1" x14ac:dyDescent="0.2"/>
    <row r="687" s="135" customFormat="1" ht="15.75" customHeight="1" x14ac:dyDescent="0.2"/>
    <row r="688" s="135" customFormat="1" ht="15.75" customHeight="1" x14ac:dyDescent="0.2"/>
    <row r="689" s="135" customFormat="1" ht="15.75" customHeight="1" x14ac:dyDescent="0.2"/>
    <row r="690" s="135" customFormat="1" ht="15.75" customHeight="1" x14ac:dyDescent="0.2"/>
    <row r="691" s="135" customFormat="1" ht="15.75" customHeight="1" x14ac:dyDescent="0.2"/>
    <row r="692" s="135" customFormat="1" ht="15.75" customHeight="1" x14ac:dyDescent="0.2"/>
    <row r="693" s="135" customFormat="1" ht="15.75" customHeight="1" x14ac:dyDescent="0.2"/>
    <row r="694" s="135" customFormat="1" ht="15.75" customHeight="1" x14ac:dyDescent="0.2"/>
    <row r="695" s="135" customFormat="1" ht="15.75" customHeight="1" x14ac:dyDescent="0.2"/>
    <row r="696" s="135" customFormat="1" ht="15.75" customHeight="1" x14ac:dyDescent="0.2"/>
    <row r="697" s="135" customFormat="1" ht="15.75" customHeight="1" x14ac:dyDescent="0.2"/>
    <row r="698" s="135" customFormat="1" ht="15.75" customHeight="1" x14ac:dyDescent="0.2"/>
    <row r="699" s="135" customFormat="1" ht="15.75" customHeight="1" x14ac:dyDescent="0.2"/>
    <row r="700" s="135" customFormat="1" ht="15.75" customHeight="1" x14ac:dyDescent="0.2"/>
    <row r="701" s="135" customFormat="1" ht="15.75" customHeight="1" x14ac:dyDescent="0.2"/>
    <row r="702" s="135" customFormat="1" ht="15.75" customHeight="1" x14ac:dyDescent="0.2"/>
    <row r="703" s="135" customFormat="1" ht="15.75" customHeight="1" x14ac:dyDescent="0.2"/>
    <row r="704" s="135" customFormat="1" ht="15.75" customHeight="1" x14ac:dyDescent="0.2"/>
    <row r="705" s="135" customFormat="1" ht="15.75" customHeight="1" x14ac:dyDescent="0.2"/>
    <row r="706" s="135" customFormat="1" ht="15.75" customHeight="1" x14ac:dyDescent="0.2"/>
    <row r="707" s="135" customFormat="1" ht="15.75" customHeight="1" x14ac:dyDescent="0.2"/>
    <row r="708" s="135" customFormat="1" ht="15.75" customHeight="1" x14ac:dyDescent="0.2"/>
    <row r="709" s="135" customFormat="1" ht="15.75" customHeight="1" x14ac:dyDescent="0.2"/>
    <row r="710" s="135" customFormat="1" ht="15.75" customHeight="1" x14ac:dyDescent="0.2"/>
    <row r="711" s="135" customFormat="1" ht="15.75" customHeight="1" x14ac:dyDescent="0.2"/>
    <row r="712" s="135" customFormat="1" ht="15.75" customHeight="1" x14ac:dyDescent="0.2"/>
    <row r="713" s="135" customFormat="1" ht="15.75" customHeight="1" x14ac:dyDescent="0.2"/>
    <row r="714" s="135" customFormat="1" ht="15.75" customHeight="1" x14ac:dyDescent="0.2"/>
    <row r="715" s="135" customFormat="1" ht="15.75" customHeight="1" x14ac:dyDescent="0.2"/>
    <row r="716" s="135" customFormat="1" ht="15.75" customHeight="1" x14ac:dyDescent="0.2"/>
    <row r="717" s="135" customFormat="1" ht="15.75" customHeight="1" x14ac:dyDescent="0.2"/>
    <row r="718" s="135" customFormat="1" ht="15.75" customHeight="1" x14ac:dyDescent="0.2"/>
    <row r="719" s="135" customFormat="1" ht="15.75" customHeight="1" x14ac:dyDescent="0.2"/>
    <row r="720" s="135" customFormat="1" ht="15.75" customHeight="1" x14ac:dyDescent="0.2"/>
    <row r="721" s="135" customFormat="1" ht="15.75" customHeight="1" x14ac:dyDescent="0.2"/>
    <row r="722" s="135" customFormat="1" ht="15.75" customHeight="1" x14ac:dyDescent="0.2"/>
    <row r="723" s="135" customFormat="1" ht="15.75" customHeight="1" x14ac:dyDescent="0.2"/>
    <row r="724" s="135" customFormat="1" ht="15.75" customHeight="1" x14ac:dyDescent="0.2"/>
    <row r="725" s="135" customFormat="1" ht="15.75" customHeight="1" x14ac:dyDescent="0.2"/>
    <row r="726" s="135" customFormat="1" ht="15.75" customHeight="1" x14ac:dyDescent="0.2"/>
    <row r="727" s="135" customFormat="1" ht="15.75" customHeight="1" x14ac:dyDescent="0.2"/>
    <row r="728" s="135" customFormat="1" ht="15.75" customHeight="1" x14ac:dyDescent="0.2"/>
    <row r="729" s="135" customFormat="1" ht="15.75" customHeight="1" x14ac:dyDescent="0.2"/>
    <row r="730" s="135" customFormat="1" ht="15.75" customHeight="1" x14ac:dyDescent="0.2"/>
    <row r="731" s="135" customFormat="1" ht="15.75" customHeight="1" x14ac:dyDescent="0.2"/>
    <row r="732" s="135" customFormat="1" ht="15.75" customHeight="1" x14ac:dyDescent="0.2"/>
    <row r="733" s="135" customFormat="1" ht="15.75" customHeight="1" x14ac:dyDescent="0.2"/>
    <row r="734" s="135" customFormat="1" ht="15.75" customHeight="1" x14ac:dyDescent="0.2"/>
    <row r="735" s="135" customFormat="1" ht="15.75" customHeight="1" x14ac:dyDescent="0.2"/>
    <row r="736" s="135" customFormat="1" ht="15.75" customHeight="1" x14ac:dyDescent="0.2"/>
    <row r="737" s="135" customFormat="1" ht="15.75" customHeight="1" x14ac:dyDescent="0.2"/>
    <row r="738" s="135" customFormat="1" ht="15.75" customHeight="1" x14ac:dyDescent="0.2"/>
    <row r="739" s="135" customFormat="1" ht="15.75" customHeight="1" x14ac:dyDescent="0.2"/>
    <row r="740" s="135" customFormat="1" ht="15.75" customHeight="1" x14ac:dyDescent="0.2"/>
    <row r="741" s="135" customFormat="1" ht="15.75" customHeight="1" x14ac:dyDescent="0.2"/>
    <row r="742" s="135" customFormat="1" ht="15.75" customHeight="1" x14ac:dyDescent="0.2"/>
    <row r="743" s="135" customFormat="1" ht="15.75" customHeight="1" x14ac:dyDescent="0.2"/>
    <row r="744" s="135" customFormat="1" ht="15.75" customHeight="1" x14ac:dyDescent="0.2"/>
    <row r="745" s="135" customFormat="1" ht="15.75" customHeight="1" x14ac:dyDescent="0.2"/>
    <row r="746" s="135" customFormat="1" ht="15.75" customHeight="1" x14ac:dyDescent="0.2"/>
    <row r="747" s="135" customFormat="1" ht="15.75" customHeight="1" x14ac:dyDescent="0.2"/>
    <row r="748" s="135" customFormat="1" ht="15.75" customHeight="1" x14ac:dyDescent="0.2"/>
    <row r="749" s="135" customFormat="1" ht="15.75" customHeight="1" x14ac:dyDescent="0.2"/>
    <row r="750" s="135" customFormat="1" ht="15.75" customHeight="1" x14ac:dyDescent="0.2"/>
    <row r="751" s="135" customFormat="1" ht="15.75" customHeight="1" x14ac:dyDescent="0.2"/>
    <row r="752" s="135" customFormat="1" ht="15.75" customHeight="1" x14ac:dyDescent="0.2"/>
    <row r="753" s="135" customFormat="1" ht="15.75" customHeight="1" x14ac:dyDescent="0.2"/>
    <row r="754" s="135" customFormat="1" ht="15.75" customHeight="1" x14ac:dyDescent="0.2"/>
    <row r="755" s="135" customFormat="1" ht="15.75" customHeight="1" x14ac:dyDescent="0.2"/>
    <row r="756" s="135" customFormat="1" ht="15.75" customHeight="1" x14ac:dyDescent="0.2"/>
    <row r="757" s="135" customFormat="1" ht="15.75" customHeight="1" x14ac:dyDescent="0.2"/>
    <row r="758" s="135" customFormat="1" ht="15.75" customHeight="1" x14ac:dyDescent="0.2"/>
    <row r="759" s="135" customFormat="1" ht="15.75" customHeight="1" x14ac:dyDescent="0.2"/>
    <row r="760" s="135" customFormat="1" ht="15.75" customHeight="1" x14ac:dyDescent="0.2"/>
    <row r="761" s="135" customFormat="1" ht="15.75" customHeight="1" x14ac:dyDescent="0.2"/>
    <row r="762" s="135" customFormat="1" ht="15.75" customHeight="1" x14ac:dyDescent="0.2"/>
    <row r="763" s="135" customFormat="1" ht="15.75" customHeight="1" x14ac:dyDescent="0.2"/>
    <row r="764" s="135" customFormat="1" ht="15.75" customHeight="1" x14ac:dyDescent="0.2"/>
    <row r="765" s="135" customFormat="1" ht="15.75" customHeight="1" x14ac:dyDescent="0.2"/>
    <row r="766" s="135" customFormat="1" ht="15.75" customHeight="1" x14ac:dyDescent="0.2"/>
    <row r="767" s="135" customFormat="1" ht="15.75" customHeight="1" x14ac:dyDescent="0.2"/>
    <row r="768" s="135" customFormat="1" ht="15.75" customHeight="1" x14ac:dyDescent="0.2"/>
    <row r="769" s="135" customFormat="1" ht="15.75" customHeight="1" x14ac:dyDescent="0.2"/>
    <row r="770" s="135" customFormat="1" ht="15.75" customHeight="1" x14ac:dyDescent="0.2"/>
    <row r="771" s="135" customFormat="1" ht="15.75" customHeight="1" x14ac:dyDescent="0.2"/>
    <row r="772" s="135" customFormat="1" ht="15.75" customHeight="1" x14ac:dyDescent="0.2"/>
    <row r="773" s="135" customFormat="1" ht="15.75" customHeight="1" x14ac:dyDescent="0.2"/>
    <row r="774" s="135" customFormat="1" ht="15.75" customHeight="1" x14ac:dyDescent="0.2"/>
    <row r="775" s="135" customFormat="1" ht="15.75" customHeight="1" x14ac:dyDescent="0.2"/>
    <row r="776" s="135" customFormat="1" ht="15.75" customHeight="1" x14ac:dyDescent="0.2"/>
    <row r="777" s="135" customFormat="1" ht="15.75" customHeight="1" x14ac:dyDescent="0.2"/>
    <row r="778" s="135" customFormat="1" ht="15.75" customHeight="1" x14ac:dyDescent="0.2"/>
    <row r="779" s="135" customFormat="1" ht="15.75" customHeight="1" x14ac:dyDescent="0.2"/>
    <row r="780" s="135" customFormat="1" ht="15.75" customHeight="1" x14ac:dyDescent="0.2"/>
    <row r="781" s="135" customFormat="1" ht="15.75" customHeight="1" x14ac:dyDescent="0.2"/>
    <row r="782" s="135" customFormat="1" ht="15.75" customHeight="1" x14ac:dyDescent="0.2"/>
    <row r="783" s="135" customFormat="1" ht="15.75" customHeight="1" x14ac:dyDescent="0.2"/>
    <row r="784" s="135" customFormat="1" ht="15.75" customHeight="1" x14ac:dyDescent="0.2"/>
    <row r="785" s="135" customFormat="1" ht="15.75" customHeight="1" x14ac:dyDescent="0.2"/>
    <row r="786" s="135" customFormat="1" ht="15.75" customHeight="1" x14ac:dyDescent="0.2"/>
    <row r="787" s="135" customFormat="1" ht="15.75" customHeight="1" x14ac:dyDescent="0.2"/>
    <row r="788" s="135" customFormat="1" ht="15.75" customHeight="1" x14ac:dyDescent="0.2"/>
    <row r="789" s="135" customFormat="1" ht="15.75" customHeight="1" x14ac:dyDescent="0.2"/>
    <row r="790" s="135" customFormat="1" ht="15.75" customHeight="1" x14ac:dyDescent="0.2"/>
    <row r="791" s="135" customFormat="1" ht="15.75" customHeight="1" x14ac:dyDescent="0.2"/>
    <row r="792" s="135" customFormat="1" ht="15.75" customHeight="1" x14ac:dyDescent="0.2"/>
    <row r="793" s="135" customFormat="1" ht="15.75" customHeight="1" x14ac:dyDescent="0.2"/>
    <row r="794" s="135" customFormat="1" ht="15.75" customHeight="1" x14ac:dyDescent="0.2"/>
    <row r="795" s="135" customFormat="1" ht="15.75" customHeight="1" x14ac:dyDescent="0.2"/>
    <row r="796" s="135" customFormat="1" ht="15.75" customHeight="1" x14ac:dyDescent="0.2"/>
    <row r="797" s="135" customFormat="1" ht="15.75" customHeight="1" x14ac:dyDescent="0.2"/>
    <row r="798" s="135" customFormat="1" ht="15.75" customHeight="1" x14ac:dyDescent="0.2"/>
    <row r="799" s="135" customFormat="1" ht="15.75" customHeight="1" x14ac:dyDescent="0.2"/>
    <row r="800" s="135" customFormat="1" ht="15.75" customHeight="1" x14ac:dyDescent="0.2"/>
    <row r="801" s="135" customFormat="1" ht="15.75" customHeight="1" x14ac:dyDescent="0.2"/>
    <row r="802" s="135" customFormat="1" ht="15.75" customHeight="1" x14ac:dyDescent="0.2"/>
    <row r="803" s="135" customFormat="1" ht="15.75" customHeight="1" x14ac:dyDescent="0.2"/>
    <row r="804" s="135" customFormat="1" ht="15.75" customHeight="1" x14ac:dyDescent="0.2"/>
    <row r="805" s="135" customFormat="1" ht="15.75" customHeight="1" x14ac:dyDescent="0.2"/>
    <row r="806" s="135" customFormat="1" ht="15.75" customHeight="1" x14ac:dyDescent="0.2"/>
    <row r="807" s="135" customFormat="1" ht="15.75" customHeight="1" x14ac:dyDescent="0.2"/>
    <row r="808" s="135" customFormat="1" ht="15.75" customHeight="1" x14ac:dyDescent="0.2"/>
    <row r="809" s="135" customFormat="1" ht="15.75" customHeight="1" x14ac:dyDescent="0.2"/>
    <row r="810" s="135" customFormat="1" ht="15.75" customHeight="1" x14ac:dyDescent="0.2"/>
    <row r="811" s="135" customFormat="1" ht="15.75" customHeight="1" x14ac:dyDescent="0.2"/>
    <row r="812" s="135" customFormat="1" ht="15.75" customHeight="1" x14ac:dyDescent="0.2"/>
    <row r="813" s="135" customFormat="1" ht="15.75" customHeight="1" x14ac:dyDescent="0.2"/>
    <row r="814" s="135" customFormat="1" ht="15.75" customHeight="1" x14ac:dyDescent="0.2"/>
    <row r="815" s="135" customFormat="1" ht="15.75" customHeight="1" x14ac:dyDescent="0.2"/>
    <row r="816" s="135" customFormat="1" ht="15.75" customHeight="1" x14ac:dyDescent="0.2"/>
    <row r="817" s="135" customFormat="1" ht="15.75" customHeight="1" x14ac:dyDescent="0.2"/>
    <row r="818" s="135" customFormat="1" ht="15.75" customHeight="1" x14ac:dyDescent="0.2"/>
    <row r="819" s="135" customFormat="1" ht="15.75" customHeight="1" x14ac:dyDescent="0.2"/>
    <row r="820" s="135" customFormat="1" ht="15.75" customHeight="1" x14ac:dyDescent="0.2"/>
    <row r="821" s="135" customFormat="1" ht="15.75" customHeight="1" x14ac:dyDescent="0.2"/>
    <row r="822" s="135" customFormat="1" ht="15.75" customHeight="1" x14ac:dyDescent="0.2"/>
    <row r="823" s="135" customFormat="1" ht="15.75" customHeight="1" x14ac:dyDescent="0.2"/>
    <row r="824" s="135" customFormat="1" ht="15.75" customHeight="1" x14ac:dyDescent="0.2"/>
    <row r="825" s="135" customFormat="1" ht="15.75" customHeight="1" x14ac:dyDescent="0.2"/>
    <row r="826" s="135" customFormat="1" ht="15.75" customHeight="1" x14ac:dyDescent="0.2"/>
    <row r="827" s="135" customFormat="1" ht="15.75" customHeight="1" x14ac:dyDescent="0.2"/>
    <row r="828" s="135" customFormat="1" ht="15.75" customHeight="1" x14ac:dyDescent="0.2"/>
    <row r="829" s="135" customFormat="1" ht="15.75" customHeight="1" x14ac:dyDescent="0.2"/>
    <row r="830" s="135" customFormat="1" ht="15.75" customHeight="1" x14ac:dyDescent="0.2"/>
    <row r="831" s="135" customFormat="1" ht="15.75" customHeight="1" x14ac:dyDescent="0.2"/>
    <row r="832" s="135" customFormat="1" ht="15.75" customHeight="1" x14ac:dyDescent="0.2"/>
    <row r="833" s="135" customFormat="1" ht="15.75" customHeight="1" x14ac:dyDescent="0.2"/>
    <row r="834" s="135" customFormat="1" ht="15.75" customHeight="1" x14ac:dyDescent="0.2"/>
    <row r="835" s="135" customFormat="1" ht="15.75" customHeight="1" x14ac:dyDescent="0.2"/>
    <row r="836" s="135" customFormat="1" ht="15.75" customHeight="1" x14ac:dyDescent="0.2"/>
    <row r="837" s="135" customFormat="1" ht="15.75" customHeight="1" x14ac:dyDescent="0.2"/>
    <row r="838" s="135" customFormat="1" ht="15.75" customHeight="1" x14ac:dyDescent="0.2"/>
    <row r="839" s="135" customFormat="1" ht="15.75" customHeight="1" x14ac:dyDescent="0.2"/>
    <row r="840" s="135" customFormat="1" ht="15.75" customHeight="1" x14ac:dyDescent="0.2"/>
    <row r="841" s="135" customFormat="1" ht="15.75" customHeight="1" x14ac:dyDescent="0.2"/>
    <row r="842" s="135" customFormat="1" ht="15.75" customHeight="1" x14ac:dyDescent="0.2"/>
    <row r="843" s="135" customFormat="1" ht="15.75" customHeight="1" x14ac:dyDescent="0.2"/>
    <row r="844" s="135" customFormat="1" ht="15.75" customHeight="1" x14ac:dyDescent="0.2"/>
    <row r="845" s="135" customFormat="1" ht="15.75" customHeight="1" x14ac:dyDescent="0.2"/>
    <row r="846" s="135" customFormat="1" ht="15.75" customHeight="1" x14ac:dyDescent="0.2"/>
    <row r="847" s="135" customFormat="1" ht="15.75" customHeight="1" x14ac:dyDescent="0.2"/>
    <row r="848" s="135" customFormat="1" ht="15.75" customHeight="1" x14ac:dyDescent="0.2"/>
    <row r="849" s="135" customFormat="1" ht="15.75" customHeight="1" x14ac:dyDescent="0.2"/>
    <row r="850" s="135" customFormat="1" ht="15.75" customHeight="1" x14ac:dyDescent="0.2"/>
    <row r="851" s="135" customFormat="1" ht="15.75" customHeight="1" x14ac:dyDescent="0.2"/>
    <row r="852" s="135" customFormat="1" ht="15.75" customHeight="1" x14ac:dyDescent="0.2"/>
    <row r="853" s="135" customFormat="1" ht="15.75" customHeight="1" x14ac:dyDescent="0.2"/>
    <row r="854" s="135" customFormat="1" ht="15.75" customHeight="1" x14ac:dyDescent="0.2"/>
    <row r="855" s="135" customFormat="1" ht="15.75" customHeight="1" x14ac:dyDescent="0.2"/>
    <row r="856" s="135" customFormat="1" ht="15.75" customHeight="1" x14ac:dyDescent="0.2"/>
    <row r="857" s="135" customFormat="1" ht="15.75" customHeight="1" x14ac:dyDescent="0.2"/>
    <row r="858" s="135" customFormat="1" ht="15.75" customHeight="1" x14ac:dyDescent="0.2"/>
    <row r="859" s="135" customFormat="1" ht="15.75" customHeight="1" x14ac:dyDescent="0.2"/>
    <row r="860" s="135" customFormat="1" ht="15.75" customHeight="1" x14ac:dyDescent="0.2"/>
    <row r="861" s="135" customFormat="1" ht="15.75" customHeight="1" x14ac:dyDescent="0.2"/>
    <row r="862" s="135" customFormat="1" ht="15.75" customHeight="1" x14ac:dyDescent="0.2"/>
    <row r="863" s="135" customFormat="1" ht="15.75" customHeight="1" x14ac:dyDescent="0.2"/>
    <row r="864" s="135" customFormat="1" ht="15.75" customHeight="1" x14ac:dyDescent="0.2"/>
    <row r="865" s="135" customFormat="1" ht="15.75" customHeight="1" x14ac:dyDescent="0.2"/>
    <row r="866" s="135" customFormat="1" ht="15.75" customHeight="1" x14ac:dyDescent="0.2"/>
    <row r="867" s="135" customFormat="1" ht="15.75" customHeight="1" x14ac:dyDescent="0.2"/>
    <row r="868" s="135" customFormat="1" ht="15.75" customHeight="1" x14ac:dyDescent="0.2"/>
    <row r="869" s="135" customFormat="1" ht="15.75" customHeight="1" x14ac:dyDescent="0.2"/>
    <row r="870" s="135" customFormat="1" ht="15.75" customHeight="1" x14ac:dyDescent="0.2"/>
    <row r="871" s="135" customFormat="1" ht="15.75" customHeight="1" x14ac:dyDescent="0.2"/>
    <row r="872" s="135" customFormat="1" ht="15.75" customHeight="1" x14ac:dyDescent="0.2"/>
    <row r="873" s="135" customFormat="1" ht="15.75" customHeight="1" x14ac:dyDescent="0.2"/>
    <row r="874" s="135" customFormat="1" ht="15.75" customHeight="1" x14ac:dyDescent="0.2"/>
    <row r="875" s="135" customFormat="1" ht="15.75" customHeight="1" x14ac:dyDescent="0.2"/>
    <row r="876" s="135" customFormat="1" ht="15.75" customHeight="1" x14ac:dyDescent="0.2"/>
    <row r="877" s="135" customFormat="1" ht="15.75" customHeight="1" x14ac:dyDescent="0.2"/>
    <row r="878" s="135" customFormat="1" ht="15.75" customHeight="1" x14ac:dyDescent="0.2"/>
    <row r="879" s="135" customFormat="1" ht="15.75" customHeight="1" x14ac:dyDescent="0.2"/>
    <row r="880" s="135" customFormat="1" ht="15.75" customHeight="1" x14ac:dyDescent="0.2"/>
    <row r="881" s="135" customFormat="1" ht="15.75" customHeight="1" x14ac:dyDescent="0.2"/>
    <row r="882" s="135" customFormat="1" ht="15.75" customHeight="1" x14ac:dyDescent="0.2"/>
    <row r="883" s="135" customFormat="1" ht="15.75" customHeight="1" x14ac:dyDescent="0.2"/>
    <row r="884" s="135" customFormat="1" ht="15.75" customHeight="1" x14ac:dyDescent="0.2"/>
    <row r="885" s="135" customFormat="1" ht="15.75" customHeight="1" x14ac:dyDescent="0.2"/>
    <row r="886" s="135" customFormat="1" ht="15.75" customHeight="1" x14ac:dyDescent="0.2"/>
    <row r="887" s="135" customFormat="1" ht="15.75" customHeight="1" x14ac:dyDescent="0.2"/>
    <row r="888" s="135" customFormat="1" ht="15.75" customHeight="1" x14ac:dyDescent="0.2"/>
    <row r="889" s="135" customFormat="1" ht="15.75" customHeight="1" x14ac:dyDescent="0.2"/>
    <row r="890" s="135" customFormat="1" ht="15.75" customHeight="1" x14ac:dyDescent="0.2"/>
    <row r="891" s="135" customFormat="1" ht="15.75" customHeight="1" x14ac:dyDescent="0.2"/>
    <row r="892" s="135" customFormat="1" ht="15.75" customHeight="1" x14ac:dyDescent="0.2"/>
    <row r="893" s="135" customFormat="1" ht="15.75" customHeight="1" x14ac:dyDescent="0.2"/>
    <row r="894" s="135" customFormat="1" ht="15.75" customHeight="1" x14ac:dyDescent="0.2"/>
    <row r="895" s="135" customFormat="1" ht="15.75" customHeight="1" x14ac:dyDescent="0.2"/>
    <row r="896" s="135" customFormat="1" ht="15.75" customHeight="1" x14ac:dyDescent="0.2"/>
    <row r="897" s="135" customFormat="1" ht="15.75" customHeight="1" x14ac:dyDescent="0.2"/>
    <row r="898" s="135" customFormat="1" ht="15.75" customHeight="1" x14ac:dyDescent="0.2"/>
    <row r="899" s="135" customFormat="1" ht="15.75" customHeight="1" x14ac:dyDescent="0.2"/>
    <row r="900" s="135" customFormat="1" ht="15.75" customHeight="1" x14ac:dyDescent="0.2"/>
    <row r="901" s="135" customFormat="1" ht="15.75" customHeight="1" x14ac:dyDescent="0.2"/>
    <row r="902" s="135" customFormat="1" ht="15.75" customHeight="1" x14ac:dyDescent="0.2"/>
    <row r="903" s="135" customFormat="1" ht="15.75" customHeight="1" x14ac:dyDescent="0.2"/>
    <row r="904" s="135" customFormat="1" ht="15.75" customHeight="1" x14ac:dyDescent="0.2"/>
    <row r="905" s="135" customFormat="1" ht="15.75" customHeight="1" x14ac:dyDescent="0.2"/>
    <row r="906" s="135" customFormat="1" ht="15.75" customHeight="1" x14ac:dyDescent="0.2"/>
    <row r="907" s="135" customFormat="1" ht="15.75" customHeight="1" x14ac:dyDescent="0.2"/>
    <row r="908" s="135" customFormat="1" ht="15.75" customHeight="1" x14ac:dyDescent="0.2"/>
    <row r="909" s="135" customFormat="1" ht="15.75" customHeight="1" x14ac:dyDescent="0.2"/>
    <row r="910" s="135" customFormat="1" ht="15.75" customHeight="1" x14ac:dyDescent="0.2"/>
    <row r="911" s="135" customFormat="1" ht="15.75" customHeight="1" x14ac:dyDescent="0.2"/>
    <row r="912" s="135" customFormat="1" ht="15.75" customHeight="1" x14ac:dyDescent="0.2"/>
    <row r="913" s="135" customFormat="1" ht="15.75" customHeight="1" x14ac:dyDescent="0.2"/>
    <row r="914" s="135" customFormat="1" ht="15.75" customHeight="1" x14ac:dyDescent="0.2"/>
    <row r="915" s="135" customFormat="1" ht="15.75" customHeight="1" x14ac:dyDescent="0.2"/>
    <row r="916" s="135" customFormat="1" ht="15.75" customHeight="1" x14ac:dyDescent="0.2"/>
    <row r="917" s="135" customFormat="1" ht="15.75" customHeight="1" x14ac:dyDescent="0.2"/>
    <row r="918" s="135" customFormat="1" ht="15.75" customHeight="1" x14ac:dyDescent="0.2"/>
    <row r="919" s="135" customFormat="1" ht="15.75" customHeight="1" x14ac:dyDescent="0.2"/>
    <row r="920" s="135" customFormat="1" ht="15.75" customHeight="1" x14ac:dyDescent="0.2"/>
    <row r="921" s="135" customFormat="1" ht="15.75" customHeight="1" x14ac:dyDescent="0.2"/>
    <row r="922" s="135" customFormat="1" ht="15.75" customHeight="1" x14ac:dyDescent="0.2"/>
    <row r="923" s="135" customFormat="1" ht="15.75" customHeight="1" x14ac:dyDescent="0.2"/>
    <row r="924" s="135" customFormat="1" ht="15.75" customHeight="1" x14ac:dyDescent="0.2"/>
    <row r="925" s="135" customFormat="1" ht="15.75" customHeight="1" x14ac:dyDescent="0.2"/>
    <row r="926" s="135" customFormat="1" ht="15.75" customHeight="1" x14ac:dyDescent="0.2"/>
    <row r="927" s="135" customFormat="1" ht="15.75" customHeight="1" x14ac:dyDescent="0.2"/>
    <row r="928" s="135" customFormat="1" ht="15.75" customHeight="1" x14ac:dyDescent="0.2"/>
    <row r="929" s="135" customFormat="1" ht="15.75" customHeight="1" x14ac:dyDescent="0.2"/>
    <row r="930" s="135" customFormat="1" ht="15.75" customHeight="1" x14ac:dyDescent="0.2"/>
    <row r="931" s="135" customFormat="1" ht="15.75" customHeight="1" x14ac:dyDescent="0.2"/>
    <row r="932" s="135" customFormat="1" ht="15.75" customHeight="1" x14ac:dyDescent="0.2"/>
    <row r="933" s="135" customFormat="1" ht="15.75" customHeight="1" x14ac:dyDescent="0.2"/>
    <row r="934" s="135" customFormat="1" ht="15.75" customHeight="1" x14ac:dyDescent="0.2"/>
    <row r="935" s="135" customFormat="1" ht="15.75" customHeight="1" x14ac:dyDescent="0.2"/>
    <row r="936" s="135" customFormat="1" ht="15.75" customHeight="1" x14ac:dyDescent="0.2"/>
    <row r="937" s="135" customFormat="1" ht="15.75" customHeight="1" x14ac:dyDescent="0.2"/>
    <row r="938" s="135" customFormat="1" ht="15.75" customHeight="1" x14ac:dyDescent="0.2"/>
    <row r="939" s="135" customFormat="1" ht="15.75" customHeight="1" x14ac:dyDescent="0.2"/>
    <row r="940" s="135" customFormat="1" ht="15.75" customHeight="1" x14ac:dyDescent="0.2"/>
    <row r="941" s="135" customFormat="1" ht="15.75" customHeight="1" x14ac:dyDescent="0.2"/>
    <row r="942" s="135" customFormat="1" ht="15.75" customHeight="1" x14ac:dyDescent="0.2"/>
    <row r="943" s="135" customFormat="1" ht="15.75" customHeight="1" x14ac:dyDescent="0.2"/>
    <row r="944" s="135" customFormat="1" ht="15.75" customHeight="1" x14ac:dyDescent="0.2"/>
    <row r="945" s="135" customFormat="1" ht="15.75" customHeight="1" x14ac:dyDescent="0.2"/>
    <row r="946" s="135" customFormat="1" ht="15.75" customHeight="1" x14ac:dyDescent="0.2"/>
    <row r="947" s="135" customFormat="1" ht="15.75" customHeight="1" x14ac:dyDescent="0.2"/>
    <row r="948" s="135" customFormat="1" ht="15.75" customHeight="1" x14ac:dyDescent="0.2"/>
    <row r="949" s="135" customFormat="1" ht="15.75" customHeight="1" x14ac:dyDescent="0.2"/>
    <row r="950" s="135" customFormat="1" ht="15.75" customHeight="1" x14ac:dyDescent="0.2"/>
    <row r="951" s="135" customFormat="1" ht="15.75" customHeight="1" x14ac:dyDescent="0.2"/>
    <row r="952" s="135" customFormat="1" ht="15.75" customHeight="1" x14ac:dyDescent="0.2"/>
    <row r="953" s="135" customFormat="1" ht="15.75" customHeight="1" x14ac:dyDescent="0.2"/>
    <row r="954" s="135" customFormat="1" ht="15.75" customHeight="1" x14ac:dyDescent="0.2"/>
    <row r="955" s="135" customFormat="1" ht="15.75" customHeight="1" x14ac:dyDescent="0.2"/>
    <row r="956" s="135" customFormat="1" ht="15.75" customHeight="1" x14ac:dyDescent="0.2"/>
    <row r="957" s="135" customFormat="1" ht="15.75" customHeight="1" x14ac:dyDescent="0.2"/>
    <row r="958" s="135" customFormat="1" ht="15.75" customHeight="1" x14ac:dyDescent="0.2"/>
    <row r="959" s="135" customFormat="1" ht="15.75" customHeight="1" x14ac:dyDescent="0.2"/>
    <row r="960" s="135" customFormat="1" ht="15.75" customHeight="1" x14ac:dyDescent="0.2"/>
    <row r="961" s="135" customFormat="1" ht="15.75" customHeight="1" x14ac:dyDescent="0.2"/>
    <row r="962" s="135" customFormat="1" ht="15.75" customHeight="1" x14ac:dyDescent="0.2"/>
    <row r="963" s="135" customFormat="1" ht="15.75" customHeight="1" x14ac:dyDescent="0.2"/>
    <row r="964" s="135" customFormat="1" ht="15.75" customHeight="1" x14ac:dyDescent="0.2"/>
    <row r="965" s="135" customFormat="1" ht="15.75" customHeight="1" x14ac:dyDescent="0.2"/>
    <row r="966" s="135" customFormat="1" ht="15.75" customHeight="1" x14ac:dyDescent="0.2"/>
    <row r="967" s="135" customFormat="1" ht="15.75" customHeight="1" x14ac:dyDescent="0.2"/>
    <row r="968" s="135" customFormat="1" ht="15.75" customHeight="1" x14ac:dyDescent="0.2"/>
    <row r="969" s="135" customFormat="1" ht="15.75" customHeight="1" x14ac:dyDescent="0.2"/>
    <row r="970" s="135" customFormat="1" ht="15.75" customHeight="1" x14ac:dyDescent="0.2"/>
    <row r="971" s="135" customFormat="1" ht="15.75" customHeight="1" x14ac:dyDescent="0.2"/>
    <row r="972" s="135" customFormat="1" ht="15.75" customHeight="1" x14ac:dyDescent="0.2"/>
    <row r="973" s="135" customFormat="1" ht="15.75" customHeight="1" x14ac:dyDescent="0.2"/>
    <row r="974" s="135" customFormat="1" ht="15.75" customHeight="1" x14ac:dyDescent="0.2"/>
    <row r="975" s="135" customFormat="1" ht="15.75" customHeight="1" x14ac:dyDescent="0.2"/>
    <row r="976" s="135" customFormat="1" ht="15.75" customHeight="1" x14ac:dyDescent="0.2"/>
    <row r="977" s="135" customFormat="1" ht="15.75" customHeight="1" x14ac:dyDescent="0.2"/>
    <row r="978" s="135" customFormat="1" ht="15.75" customHeight="1" x14ac:dyDescent="0.2"/>
    <row r="979" s="135" customFormat="1" ht="15.75" customHeight="1" x14ac:dyDescent="0.2"/>
    <row r="980" s="135" customFormat="1" ht="15.75" customHeight="1" x14ac:dyDescent="0.2"/>
    <row r="981" s="135" customFormat="1" ht="15.75" customHeight="1" x14ac:dyDescent="0.2"/>
    <row r="982" s="135" customFormat="1" ht="15.75" customHeight="1" x14ac:dyDescent="0.2"/>
    <row r="983" s="135" customFormat="1" ht="15.75" customHeight="1" x14ac:dyDescent="0.2"/>
    <row r="984" s="135" customFormat="1" ht="15.75" customHeight="1" x14ac:dyDescent="0.2"/>
    <row r="985" s="135" customFormat="1" ht="15.75" customHeight="1" x14ac:dyDescent="0.2"/>
    <row r="986" s="135" customFormat="1" ht="15.75" customHeight="1" x14ac:dyDescent="0.2"/>
    <row r="987" s="135" customFormat="1" ht="15.75" customHeight="1" x14ac:dyDescent="0.2"/>
    <row r="988" s="135" customFormat="1" ht="15.75" customHeight="1" x14ac:dyDescent="0.2"/>
    <row r="989" s="135" customFormat="1" ht="15.75" customHeight="1" x14ac:dyDescent="0.2"/>
    <row r="990" s="135" customFormat="1" ht="15.75" customHeight="1" x14ac:dyDescent="0.2"/>
    <row r="991" s="135" customFormat="1" ht="15.75" customHeight="1" x14ac:dyDescent="0.2"/>
    <row r="992" s="135" customFormat="1" ht="15.75" customHeight="1" x14ac:dyDescent="0.2"/>
    <row r="993" s="135" customFormat="1" ht="15.75" customHeight="1" x14ac:dyDescent="0.2"/>
    <row r="994" s="135" customFormat="1" ht="15.75" customHeight="1" x14ac:dyDescent="0.2"/>
    <row r="995" s="135" customFormat="1" ht="15.75" customHeight="1" x14ac:dyDescent="0.2"/>
    <row r="996" s="135" customFormat="1" ht="15.75" customHeight="1" x14ac:dyDescent="0.2"/>
    <row r="997" s="135" customFormat="1" ht="15.75" customHeight="1" x14ac:dyDescent="0.2"/>
    <row r="998" s="135" customFormat="1" ht="15.75" customHeight="1" x14ac:dyDescent="0.2"/>
    <row r="999" s="135" customFormat="1" ht="15.75" customHeight="1" x14ac:dyDescent="0.2"/>
    <row r="1000" s="135" customFormat="1" ht="15.75" customHeight="1" x14ac:dyDescent="0.2"/>
    <row r="1001" s="135" customFormat="1" ht="15.75" customHeight="1" x14ac:dyDescent="0.2"/>
  </sheetData>
  <phoneticPr fontId="12" type="noConversion"/>
  <pageMargins left="0.70866141732283472" right="0.70866141732283472" top="0.74803149606299213" bottom="0.74803149606299213" header="0" footer="0"/>
  <pageSetup scale="8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00"/>
  <sheetViews>
    <sheetView workbookViewId="0"/>
  </sheetViews>
  <sheetFormatPr baseColWidth="10" defaultColWidth="14.42578125" defaultRowHeight="15" customHeight="1" x14ac:dyDescent="0.25"/>
  <cols>
    <col min="1" max="2" width="10.7109375" customWidth="1"/>
    <col min="3" max="3" width="16.28515625" customWidth="1"/>
    <col min="4" max="4" width="19.5703125" customWidth="1"/>
    <col min="5" max="5" width="20.140625" customWidth="1"/>
    <col min="6" max="6" width="22.85546875" customWidth="1"/>
    <col min="7" max="7" width="22.5703125" customWidth="1"/>
    <col min="8" max="8" width="18.7109375" customWidth="1"/>
  </cols>
  <sheetData>
    <row r="1" spans="1:8" ht="63.75" customHeight="1" x14ac:dyDescent="0.25"/>
    <row r="2" spans="1:8" x14ac:dyDescent="0.25">
      <c r="A2" s="2" t="s">
        <v>155</v>
      </c>
      <c r="B2" s="2" t="s">
        <v>0</v>
      </c>
    </row>
    <row r="3" spans="1:8" x14ac:dyDescent="0.25">
      <c r="A3" s="2" t="s">
        <v>156</v>
      </c>
      <c r="B3" s="2" t="s">
        <v>178</v>
      </c>
    </row>
    <row r="4" spans="1:8" x14ac:dyDescent="0.25">
      <c r="A4" s="2" t="s">
        <v>158</v>
      </c>
      <c r="B4" s="75" t="s">
        <v>159</v>
      </c>
    </row>
    <row r="5" spans="1:8" x14ac:dyDescent="0.25">
      <c r="A5" s="2"/>
      <c r="B5" s="75"/>
    </row>
    <row r="6" spans="1:8" x14ac:dyDescent="0.25">
      <c r="A6" s="2"/>
      <c r="B6" s="75" t="s">
        <v>160</v>
      </c>
      <c r="D6" s="76" t="s">
        <v>161</v>
      </c>
    </row>
    <row r="7" spans="1:8" x14ac:dyDescent="0.25">
      <c r="A7" s="2"/>
      <c r="B7" s="75" t="s">
        <v>162</v>
      </c>
      <c r="D7" s="6">
        <v>130408.4</v>
      </c>
    </row>
    <row r="8" spans="1:8" x14ac:dyDescent="0.25">
      <c r="A8" s="2"/>
      <c r="B8" s="75" t="s">
        <v>15</v>
      </c>
      <c r="D8" s="6">
        <v>91285.88</v>
      </c>
    </row>
    <row r="9" spans="1:8" x14ac:dyDescent="0.25">
      <c r="A9" s="2"/>
      <c r="B9" s="78" t="s">
        <v>163</v>
      </c>
      <c r="C9" s="79"/>
      <c r="D9" s="80">
        <f>+D7-D8</f>
        <v>39122.51999999999</v>
      </c>
    </row>
    <row r="10" spans="1:8" x14ac:dyDescent="0.25">
      <c r="A10" s="2"/>
      <c r="B10" s="75" t="s">
        <v>10</v>
      </c>
      <c r="D10" s="65">
        <v>0</v>
      </c>
    </row>
    <row r="11" spans="1:8" x14ac:dyDescent="0.25">
      <c r="A11" s="2"/>
      <c r="B11" s="78" t="s">
        <v>164</v>
      </c>
      <c r="C11" s="79"/>
      <c r="D11" s="80">
        <f>+D9-D10</f>
        <v>39122.51999999999</v>
      </c>
    </row>
    <row r="13" spans="1:8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0"/>
  <sheetViews>
    <sheetView workbookViewId="0"/>
  </sheetViews>
  <sheetFormatPr baseColWidth="10" defaultColWidth="14.42578125" defaultRowHeight="15" customHeight="1" x14ac:dyDescent="0.25"/>
  <cols>
    <col min="1" max="2" width="10.7109375" customWidth="1"/>
    <col min="3" max="3" width="16.28515625" customWidth="1"/>
    <col min="4" max="4" width="19.5703125" customWidth="1"/>
    <col min="5" max="5" width="20.140625" customWidth="1"/>
    <col min="6" max="6" width="22.85546875" customWidth="1"/>
    <col min="7" max="7" width="22.5703125" customWidth="1"/>
    <col min="8" max="8" width="18.7109375" customWidth="1"/>
  </cols>
  <sheetData>
    <row r="1" spans="1:8" ht="63.75" customHeight="1" x14ac:dyDescent="0.25"/>
    <row r="2" spans="1:8" x14ac:dyDescent="0.25">
      <c r="A2" s="2" t="s">
        <v>155</v>
      </c>
      <c r="B2" s="2" t="s">
        <v>0</v>
      </c>
    </row>
    <row r="3" spans="1:8" x14ac:dyDescent="0.25">
      <c r="A3" s="2" t="s">
        <v>156</v>
      </c>
      <c r="B3" s="2" t="s">
        <v>179</v>
      </c>
    </row>
    <row r="4" spans="1:8" x14ac:dyDescent="0.25">
      <c r="A4" s="2" t="s">
        <v>158</v>
      </c>
      <c r="B4" s="75" t="s">
        <v>180</v>
      </c>
    </row>
    <row r="5" spans="1:8" x14ac:dyDescent="0.25">
      <c r="A5" s="2"/>
      <c r="B5" s="75"/>
      <c r="F5" s="93"/>
      <c r="G5" s="1"/>
    </row>
    <row r="6" spans="1:8" x14ac:dyDescent="0.25">
      <c r="A6" s="2"/>
      <c r="B6" s="75" t="s">
        <v>160</v>
      </c>
      <c r="D6" s="76" t="s">
        <v>161</v>
      </c>
      <c r="F6" s="93"/>
      <c r="G6" s="1"/>
    </row>
    <row r="7" spans="1:8" x14ac:dyDescent="0.25">
      <c r="A7" s="2"/>
      <c r="B7" s="75" t="s">
        <v>162</v>
      </c>
      <c r="D7" s="6">
        <v>661711.1888</v>
      </c>
    </row>
    <row r="8" spans="1:8" x14ac:dyDescent="0.25">
      <c r="A8" s="2"/>
      <c r="B8" s="75" t="s">
        <v>15</v>
      </c>
      <c r="D8" s="6">
        <f>401565.91+182101.7</f>
        <v>583667.61</v>
      </c>
    </row>
    <row r="9" spans="1:8" x14ac:dyDescent="0.25">
      <c r="A9" s="2"/>
      <c r="B9" s="78" t="s">
        <v>163</v>
      </c>
      <c r="C9" s="79"/>
      <c r="D9" s="80">
        <f>+D7-D8</f>
        <v>78043.578800000018</v>
      </c>
    </row>
    <row r="10" spans="1:8" x14ac:dyDescent="0.25">
      <c r="A10" s="2"/>
      <c r="B10" s="75" t="s">
        <v>10</v>
      </c>
      <c r="D10" s="65">
        <v>0</v>
      </c>
    </row>
    <row r="11" spans="1:8" x14ac:dyDescent="0.25">
      <c r="A11" s="2"/>
      <c r="B11" s="78" t="s">
        <v>164</v>
      </c>
      <c r="C11" s="79"/>
      <c r="D11" s="80">
        <f>+D9-D10</f>
        <v>78043.578800000018</v>
      </c>
    </row>
    <row r="13" spans="1:8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14" spans="1:8" x14ac:dyDescent="0.25">
      <c r="A14" s="94"/>
      <c r="B14" s="84"/>
      <c r="C14" s="83"/>
      <c r="D14" s="86"/>
      <c r="E14" s="95"/>
      <c r="F14" s="95"/>
      <c r="G14" s="95"/>
    </row>
    <row r="15" spans="1:8" x14ac:dyDescent="0.25">
      <c r="E15" s="65">
        <f t="shared" ref="E15:G15" si="0">SUM(E14)</f>
        <v>0</v>
      </c>
      <c r="F15" s="65">
        <f t="shared" si="0"/>
        <v>0</v>
      </c>
      <c r="G15" s="65">
        <f t="shared" si="0"/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0"/>
  <sheetViews>
    <sheetView workbookViewId="0"/>
  </sheetViews>
  <sheetFormatPr baseColWidth="10" defaultColWidth="14.42578125" defaultRowHeight="15" customHeight="1" x14ac:dyDescent="0.25"/>
  <cols>
    <col min="1" max="2" width="10.7109375" customWidth="1"/>
    <col min="3" max="3" width="16.28515625" customWidth="1"/>
    <col min="4" max="4" width="19.5703125" customWidth="1"/>
    <col min="5" max="5" width="20.140625" customWidth="1"/>
    <col min="6" max="6" width="22.85546875" customWidth="1"/>
    <col min="7" max="7" width="22.5703125" customWidth="1"/>
    <col min="8" max="8" width="18.7109375" customWidth="1"/>
  </cols>
  <sheetData>
    <row r="1" spans="1:8" ht="65.25" customHeight="1" x14ac:dyDescent="0.25"/>
    <row r="2" spans="1:8" x14ac:dyDescent="0.25">
      <c r="A2" s="2" t="s">
        <v>155</v>
      </c>
      <c r="B2" s="2" t="s">
        <v>0</v>
      </c>
    </row>
    <row r="3" spans="1:8" x14ac:dyDescent="0.25">
      <c r="A3" s="2" t="s">
        <v>156</v>
      </c>
      <c r="B3" s="2" t="s">
        <v>181</v>
      </c>
    </row>
    <row r="4" spans="1:8" x14ac:dyDescent="0.25">
      <c r="A4" s="2" t="s">
        <v>158</v>
      </c>
      <c r="B4" s="75" t="s">
        <v>170</v>
      </c>
    </row>
    <row r="5" spans="1:8" x14ac:dyDescent="0.25">
      <c r="A5" s="2"/>
      <c r="B5" s="75"/>
    </row>
    <row r="6" spans="1:8" x14ac:dyDescent="0.25">
      <c r="A6" s="2"/>
      <c r="B6" s="75" t="s">
        <v>160</v>
      </c>
      <c r="D6" s="76" t="s">
        <v>161</v>
      </c>
    </row>
    <row r="7" spans="1:8" x14ac:dyDescent="0.25">
      <c r="A7" s="2"/>
      <c r="B7" s="75" t="s">
        <v>162</v>
      </c>
      <c r="D7" s="6">
        <v>1160000</v>
      </c>
    </row>
    <row r="8" spans="1:8" x14ac:dyDescent="0.25">
      <c r="A8" s="2"/>
      <c r="B8" s="75" t="s">
        <v>15</v>
      </c>
      <c r="D8" s="6">
        <v>1160000</v>
      </c>
    </row>
    <row r="9" spans="1:8" x14ac:dyDescent="0.25">
      <c r="A9" s="2"/>
      <c r="B9" s="78" t="s">
        <v>163</v>
      </c>
      <c r="C9" s="79"/>
      <c r="D9" s="80">
        <f>+D7-D8</f>
        <v>0</v>
      </c>
    </row>
    <row r="10" spans="1:8" x14ac:dyDescent="0.25">
      <c r="A10" s="2"/>
      <c r="B10" s="75" t="s">
        <v>10</v>
      </c>
      <c r="D10" s="65">
        <v>0</v>
      </c>
    </row>
    <row r="11" spans="1:8" x14ac:dyDescent="0.25">
      <c r="A11" s="2"/>
      <c r="B11" s="78" t="s">
        <v>164</v>
      </c>
      <c r="C11" s="79"/>
      <c r="D11" s="80">
        <f>+D9-D10</f>
        <v>0</v>
      </c>
    </row>
    <row r="13" spans="1:8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0"/>
  <sheetViews>
    <sheetView workbookViewId="0"/>
  </sheetViews>
  <sheetFormatPr baseColWidth="10" defaultColWidth="14.42578125" defaultRowHeight="15" customHeight="1" x14ac:dyDescent="0.25"/>
  <cols>
    <col min="1" max="2" width="10.7109375" customWidth="1"/>
    <col min="3" max="3" width="16.28515625" customWidth="1"/>
    <col min="4" max="4" width="19.5703125" customWidth="1"/>
    <col min="5" max="5" width="20.140625" customWidth="1"/>
    <col min="6" max="6" width="22.85546875" customWidth="1"/>
    <col min="7" max="7" width="22.5703125" customWidth="1"/>
    <col min="8" max="8" width="18.7109375" customWidth="1"/>
  </cols>
  <sheetData>
    <row r="1" spans="1:8" ht="65.25" customHeight="1" x14ac:dyDescent="0.25"/>
    <row r="2" spans="1:8" x14ac:dyDescent="0.25">
      <c r="A2" s="2" t="s">
        <v>155</v>
      </c>
      <c r="B2" s="2" t="s">
        <v>0</v>
      </c>
    </row>
    <row r="3" spans="1:8" x14ac:dyDescent="0.25">
      <c r="A3" s="2" t="s">
        <v>156</v>
      </c>
      <c r="B3" s="2" t="s">
        <v>181</v>
      </c>
    </row>
    <row r="4" spans="1:8" x14ac:dyDescent="0.25">
      <c r="A4" s="2" t="s">
        <v>158</v>
      </c>
      <c r="B4" s="75" t="s">
        <v>170</v>
      </c>
    </row>
    <row r="5" spans="1:8" x14ac:dyDescent="0.25">
      <c r="A5" s="2"/>
      <c r="B5" s="75"/>
    </row>
    <row r="6" spans="1:8" x14ac:dyDescent="0.25">
      <c r="A6" s="2"/>
      <c r="B6" s="75" t="s">
        <v>160</v>
      </c>
      <c r="D6" s="76" t="s">
        <v>161</v>
      </c>
    </row>
    <row r="7" spans="1:8" x14ac:dyDescent="0.25">
      <c r="A7" s="2"/>
      <c r="B7" s="75" t="s">
        <v>162</v>
      </c>
      <c r="D7" s="6">
        <v>3215482.2303999998</v>
      </c>
    </row>
    <row r="8" spans="1:8" x14ac:dyDescent="0.25">
      <c r="A8" s="2"/>
      <c r="B8" s="75" t="s">
        <v>15</v>
      </c>
      <c r="D8" s="6">
        <v>0</v>
      </c>
    </row>
    <row r="9" spans="1:8" x14ac:dyDescent="0.25">
      <c r="A9" s="2"/>
      <c r="B9" s="78" t="s">
        <v>163</v>
      </c>
      <c r="C9" s="79"/>
      <c r="D9" s="80">
        <f>+D7-D8</f>
        <v>3215482.2303999998</v>
      </c>
    </row>
    <row r="10" spans="1:8" x14ac:dyDescent="0.25">
      <c r="A10" s="2"/>
      <c r="B10" s="75" t="s">
        <v>10</v>
      </c>
      <c r="D10" s="65">
        <v>0</v>
      </c>
    </row>
    <row r="11" spans="1:8" x14ac:dyDescent="0.25">
      <c r="A11" s="2"/>
      <c r="B11" s="78" t="s">
        <v>164</v>
      </c>
      <c r="C11" s="79"/>
      <c r="D11" s="80">
        <f>+D9-D10</f>
        <v>3215482.2303999998</v>
      </c>
    </row>
    <row r="13" spans="1:8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H1000"/>
  <sheetViews>
    <sheetView workbookViewId="0"/>
  </sheetViews>
  <sheetFormatPr baseColWidth="10" defaultColWidth="14.42578125" defaultRowHeight="15" customHeight="1" x14ac:dyDescent="0.25"/>
  <cols>
    <col min="1" max="2" width="10.7109375" customWidth="1"/>
    <col min="3" max="3" width="16.28515625" customWidth="1"/>
    <col min="4" max="4" width="25.28515625" customWidth="1"/>
    <col min="5" max="5" width="20.140625" customWidth="1"/>
    <col min="6" max="6" width="22.85546875" customWidth="1"/>
    <col min="7" max="7" width="22.5703125" customWidth="1"/>
    <col min="8" max="8" width="18.7109375" customWidth="1"/>
  </cols>
  <sheetData>
    <row r="2" spans="1:8" x14ac:dyDescent="0.25">
      <c r="A2" s="2" t="s">
        <v>155</v>
      </c>
      <c r="B2" s="2" t="s">
        <v>0</v>
      </c>
    </row>
    <row r="3" spans="1:8" x14ac:dyDescent="0.25">
      <c r="A3" s="2" t="s">
        <v>156</v>
      </c>
      <c r="B3" s="2" t="s">
        <v>182</v>
      </c>
    </row>
    <row r="4" spans="1:8" x14ac:dyDescent="0.25">
      <c r="A4" s="2" t="s">
        <v>158</v>
      </c>
      <c r="B4" s="75" t="s">
        <v>183</v>
      </c>
    </row>
    <row r="5" spans="1:8" x14ac:dyDescent="0.25">
      <c r="A5" s="2"/>
      <c r="B5" s="75"/>
    </row>
    <row r="6" spans="1:8" x14ac:dyDescent="0.25">
      <c r="A6" s="2"/>
      <c r="B6" s="75" t="s">
        <v>160</v>
      </c>
      <c r="D6" s="76" t="s">
        <v>161</v>
      </c>
    </row>
    <row r="7" spans="1:8" x14ac:dyDescent="0.25">
      <c r="A7" s="2"/>
      <c r="B7" s="75" t="s">
        <v>162</v>
      </c>
      <c r="D7" s="6">
        <v>2378000</v>
      </c>
    </row>
    <row r="8" spans="1:8" x14ac:dyDescent="0.25">
      <c r="A8" s="2"/>
      <c r="B8" s="75" t="s">
        <v>15</v>
      </c>
      <c r="D8" s="6">
        <v>1664600</v>
      </c>
    </row>
    <row r="9" spans="1:8" x14ac:dyDescent="0.25">
      <c r="A9" s="2"/>
      <c r="B9" s="78" t="s">
        <v>163</v>
      </c>
      <c r="C9" s="79"/>
      <c r="D9" s="80">
        <f>+D7-D8</f>
        <v>713400</v>
      </c>
    </row>
    <row r="10" spans="1:8" x14ac:dyDescent="0.25">
      <c r="A10" s="2"/>
      <c r="B10" s="75" t="s">
        <v>10</v>
      </c>
      <c r="D10" s="65">
        <v>0</v>
      </c>
    </row>
    <row r="11" spans="1:8" x14ac:dyDescent="0.25">
      <c r="A11" s="2"/>
      <c r="B11" s="78" t="s">
        <v>164</v>
      </c>
      <c r="C11" s="79"/>
      <c r="D11" s="80">
        <f>+D9-D10</f>
        <v>713400</v>
      </c>
    </row>
    <row r="13" spans="1:8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14" spans="1:8" x14ac:dyDescent="0.25">
      <c r="A14" s="94"/>
      <c r="B14" s="84"/>
      <c r="C14" s="83"/>
      <c r="D14" s="86"/>
      <c r="E14" s="90"/>
      <c r="F14" s="90"/>
      <c r="G14" s="90"/>
    </row>
    <row r="15" spans="1:8" x14ac:dyDescent="0.25">
      <c r="E15" s="65">
        <f t="shared" ref="E15:G15" si="0">SUM(E14)</f>
        <v>0</v>
      </c>
      <c r="F15" s="65">
        <f t="shared" si="0"/>
        <v>0</v>
      </c>
      <c r="G15" s="65">
        <f t="shared" si="0"/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H1000"/>
  <sheetViews>
    <sheetView workbookViewId="0"/>
  </sheetViews>
  <sheetFormatPr baseColWidth="10" defaultColWidth="14.42578125" defaultRowHeight="15" customHeight="1" x14ac:dyDescent="0.25"/>
  <cols>
    <col min="1" max="2" width="10.7109375" customWidth="1"/>
    <col min="3" max="3" width="16.28515625" customWidth="1"/>
    <col min="4" max="4" width="19.5703125" customWidth="1"/>
    <col min="5" max="5" width="20.140625" customWidth="1"/>
    <col min="6" max="6" width="22.85546875" customWidth="1"/>
    <col min="7" max="7" width="22.5703125" customWidth="1"/>
    <col min="8" max="8" width="18.7109375" customWidth="1"/>
  </cols>
  <sheetData>
    <row r="2" spans="1:8" x14ac:dyDescent="0.25">
      <c r="A2" s="2" t="s">
        <v>155</v>
      </c>
      <c r="B2" s="2" t="s">
        <v>0</v>
      </c>
    </row>
    <row r="3" spans="1:8" x14ac:dyDescent="0.25">
      <c r="A3" s="2" t="s">
        <v>156</v>
      </c>
      <c r="B3" s="2" t="s">
        <v>184</v>
      </c>
    </row>
    <row r="4" spans="1:8" x14ac:dyDescent="0.25">
      <c r="A4" s="2" t="s">
        <v>158</v>
      </c>
      <c r="B4" s="75" t="s">
        <v>159</v>
      </c>
    </row>
    <row r="5" spans="1:8" x14ac:dyDescent="0.25">
      <c r="A5" s="2"/>
      <c r="B5" s="75"/>
    </row>
    <row r="6" spans="1:8" x14ac:dyDescent="0.25">
      <c r="A6" s="2"/>
      <c r="B6" s="75" t="s">
        <v>160</v>
      </c>
      <c r="D6" s="76" t="s">
        <v>161</v>
      </c>
    </row>
    <row r="7" spans="1:8" x14ac:dyDescent="0.25">
      <c r="A7" s="2"/>
      <c r="B7" s="75" t="s">
        <v>162</v>
      </c>
      <c r="D7" s="6">
        <v>426201.95</v>
      </c>
    </row>
    <row r="8" spans="1:8" x14ac:dyDescent="0.25">
      <c r="A8" s="2"/>
      <c r="B8" s="75" t="s">
        <v>15</v>
      </c>
      <c r="D8" s="6">
        <v>298341.36</v>
      </c>
    </row>
    <row r="9" spans="1:8" x14ac:dyDescent="0.25">
      <c r="A9" s="2"/>
      <c r="B9" s="78" t="s">
        <v>163</v>
      </c>
      <c r="C9" s="79"/>
      <c r="D9" s="80">
        <f>+D7-D8</f>
        <v>127860.59000000003</v>
      </c>
    </row>
    <row r="10" spans="1:8" x14ac:dyDescent="0.25">
      <c r="A10" s="2"/>
      <c r="B10" s="75" t="s">
        <v>10</v>
      </c>
      <c r="D10" s="65">
        <v>0</v>
      </c>
    </row>
    <row r="11" spans="1:8" x14ac:dyDescent="0.25">
      <c r="A11" s="2"/>
      <c r="B11" s="78" t="s">
        <v>164</v>
      </c>
      <c r="C11" s="79"/>
      <c r="D11" s="80">
        <f>+D9-D10</f>
        <v>127860.59000000003</v>
      </c>
    </row>
    <row r="13" spans="1:8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000"/>
  <sheetViews>
    <sheetView workbookViewId="0">
      <selection activeCell="D7" sqref="D7"/>
    </sheetView>
  </sheetViews>
  <sheetFormatPr baseColWidth="10" defaultColWidth="14.42578125" defaultRowHeight="15" customHeight="1" x14ac:dyDescent="0.25"/>
  <cols>
    <col min="1" max="2" width="10.7109375" customWidth="1"/>
    <col min="3" max="3" width="16.28515625" customWidth="1"/>
    <col min="4" max="4" width="19.5703125" customWidth="1"/>
    <col min="5" max="5" width="19.140625" customWidth="1"/>
    <col min="6" max="6" width="18.7109375" customWidth="1"/>
    <col min="7" max="7" width="19.5703125" customWidth="1"/>
    <col min="8" max="8" width="18.7109375" customWidth="1"/>
  </cols>
  <sheetData>
    <row r="1" spans="1:8" ht="64.5" customHeight="1" x14ac:dyDescent="0.25"/>
    <row r="2" spans="1:8" x14ac:dyDescent="0.25">
      <c r="A2" s="2" t="s">
        <v>155</v>
      </c>
      <c r="B2" s="2" t="s">
        <v>0</v>
      </c>
    </row>
    <row r="3" spans="1:8" x14ac:dyDescent="0.25">
      <c r="A3" s="2" t="s">
        <v>156</v>
      </c>
      <c r="B3" s="2" t="s">
        <v>185</v>
      </c>
    </row>
    <row r="4" spans="1:8" x14ac:dyDescent="0.25">
      <c r="A4" s="2" t="s">
        <v>158</v>
      </c>
      <c r="B4" s="75" t="s">
        <v>310</v>
      </c>
    </row>
    <row r="5" spans="1:8" x14ac:dyDescent="0.25">
      <c r="A5" s="2"/>
      <c r="B5" s="75"/>
    </row>
    <row r="6" spans="1:8" x14ac:dyDescent="0.25">
      <c r="A6" s="2"/>
      <c r="B6" s="75" t="s">
        <v>160</v>
      </c>
      <c r="D6" s="76" t="s">
        <v>161</v>
      </c>
    </row>
    <row r="7" spans="1:8" x14ac:dyDescent="0.25">
      <c r="A7" s="2"/>
      <c r="B7" s="75" t="s">
        <v>162</v>
      </c>
      <c r="D7" s="6">
        <v>1857290.47</v>
      </c>
    </row>
    <row r="8" spans="1:8" x14ac:dyDescent="0.25">
      <c r="A8" s="2"/>
      <c r="B8" s="75" t="s">
        <v>15</v>
      </c>
      <c r="D8" s="6">
        <v>500000</v>
      </c>
    </row>
    <row r="9" spans="1:8" x14ac:dyDescent="0.25">
      <c r="A9" s="2"/>
      <c r="B9" s="78" t="s">
        <v>163</v>
      </c>
      <c r="C9" s="79"/>
      <c r="D9" s="80">
        <f>+D7-D8</f>
        <v>1357290.47</v>
      </c>
    </row>
    <row r="10" spans="1:8" x14ac:dyDescent="0.25">
      <c r="A10" s="2"/>
      <c r="B10" s="75" t="s">
        <v>10</v>
      </c>
      <c r="D10" s="65">
        <v>0</v>
      </c>
    </row>
    <row r="11" spans="1:8" x14ac:dyDescent="0.25">
      <c r="A11" s="2"/>
      <c r="B11" s="78" t="s">
        <v>164</v>
      </c>
      <c r="C11" s="79"/>
      <c r="D11" s="80">
        <f>+D9-D10</f>
        <v>1357290.47</v>
      </c>
    </row>
    <row r="13" spans="1:8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14" spans="1:8" x14ac:dyDescent="0.25">
      <c r="A14" s="94">
        <v>1</v>
      </c>
      <c r="B14" s="122">
        <v>45922</v>
      </c>
      <c r="C14" s="123">
        <v>4313</v>
      </c>
      <c r="D14" s="134" t="s">
        <v>246</v>
      </c>
      <c r="E14" s="95">
        <v>334083.84999999998</v>
      </c>
      <c r="F14" s="95">
        <v>0</v>
      </c>
      <c r="G14" s="95">
        <v>334083.84999999998</v>
      </c>
    </row>
    <row r="15" spans="1:8" x14ac:dyDescent="0.25">
      <c r="E15" s="65">
        <f t="shared" ref="E15:G15" si="0">SUM(E14)</f>
        <v>334083.84999999998</v>
      </c>
      <c r="F15" s="65">
        <f t="shared" si="0"/>
        <v>0</v>
      </c>
      <c r="G15" s="65">
        <f t="shared" si="0"/>
        <v>334083.84999999998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0866141732283472" right="0.70866141732283472" top="0.74803149606299213" bottom="0.74803149606299213" header="0" footer="0"/>
  <pageSetup scale="9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0"/>
  <sheetViews>
    <sheetView workbookViewId="0"/>
  </sheetViews>
  <sheetFormatPr baseColWidth="10" defaultColWidth="14.42578125" defaultRowHeight="15" customHeight="1" x14ac:dyDescent="0.25"/>
  <cols>
    <col min="1" max="2" width="10.7109375" customWidth="1"/>
    <col min="3" max="3" width="16.28515625" customWidth="1"/>
    <col min="4" max="4" width="25.42578125" customWidth="1"/>
    <col min="5" max="5" width="20.140625" customWidth="1"/>
    <col min="6" max="6" width="22.85546875" customWidth="1"/>
    <col min="7" max="7" width="22.5703125" customWidth="1"/>
    <col min="8" max="8" width="18.7109375" customWidth="1"/>
  </cols>
  <sheetData>
    <row r="1" spans="1:8" ht="69" customHeight="1" x14ac:dyDescent="0.25"/>
    <row r="2" spans="1:8" x14ac:dyDescent="0.25">
      <c r="A2" s="2" t="s">
        <v>155</v>
      </c>
      <c r="B2" s="2" t="s">
        <v>0</v>
      </c>
    </row>
    <row r="3" spans="1:8" x14ac:dyDescent="0.25">
      <c r="A3" s="2" t="s">
        <v>156</v>
      </c>
      <c r="B3" s="2" t="s">
        <v>186</v>
      </c>
    </row>
    <row r="4" spans="1:8" x14ac:dyDescent="0.25">
      <c r="A4" s="2" t="s">
        <v>158</v>
      </c>
      <c r="B4" s="75" t="s">
        <v>187</v>
      </c>
    </row>
    <row r="5" spans="1:8" x14ac:dyDescent="0.25">
      <c r="A5" s="2"/>
      <c r="B5" s="75"/>
    </row>
    <row r="6" spans="1:8" x14ac:dyDescent="0.25">
      <c r="A6" s="2"/>
      <c r="B6" s="75" t="s">
        <v>160</v>
      </c>
      <c r="D6" s="76" t="s">
        <v>161</v>
      </c>
    </row>
    <row r="7" spans="1:8" x14ac:dyDescent="0.25">
      <c r="A7" s="2"/>
      <c r="B7" s="75" t="s">
        <v>162</v>
      </c>
      <c r="D7" s="6">
        <v>1475327.3703999999</v>
      </c>
    </row>
    <row r="8" spans="1:8" x14ac:dyDescent="0.25">
      <c r="A8" s="2"/>
      <c r="B8" s="75" t="s">
        <v>15</v>
      </c>
      <c r="D8" s="6">
        <f>1127328.14</f>
        <v>1127328.1399999999</v>
      </c>
    </row>
    <row r="9" spans="1:8" x14ac:dyDescent="0.25">
      <c r="A9" s="2"/>
      <c r="B9" s="78" t="s">
        <v>163</v>
      </c>
      <c r="C9" s="79"/>
      <c r="D9" s="80">
        <f>+D7-D8</f>
        <v>347999.2304</v>
      </c>
    </row>
    <row r="10" spans="1:8" x14ac:dyDescent="0.25">
      <c r="A10" s="2"/>
      <c r="B10" s="75" t="s">
        <v>10</v>
      </c>
      <c r="D10" s="65">
        <v>0</v>
      </c>
    </row>
    <row r="11" spans="1:8" x14ac:dyDescent="0.25">
      <c r="A11" s="2"/>
      <c r="B11" s="78" t="s">
        <v>164</v>
      </c>
      <c r="C11" s="79"/>
      <c r="D11" s="80">
        <f>+D9-D10</f>
        <v>347999.2304</v>
      </c>
    </row>
    <row r="13" spans="1:8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14" spans="1:8" x14ac:dyDescent="0.25">
      <c r="A14" s="96"/>
      <c r="B14" s="84"/>
      <c r="C14" s="83"/>
      <c r="D14" s="1"/>
      <c r="E14" s="88"/>
      <c r="F14" s="88"/>
      <c r="G14" s="88"/>
    </row>
    <row r="15" spans="1:8" x14ac:dyDescent="0.25">
      <c r="E15" s="65">
        <f t="shared" ref="E15:G15" si="0">SUM(E14)</f>
        <v>0</v>
      </c>
      <c r="F15" s="65">
        <f t="shared" si="0"/>
        <v>0</v>
      </c>
      <c r="G15" s="65">
        <f t="shared" si="0"/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Z1000"/>
  <sheetViews>
    <sheetView workbookViewId="0"/>
  </sheetViews>
  <sheetFormatPr baseColWidth="10" defaultColWidth="14.42578125" defaultRowHeight="15" customHeight="1" x14ac:dyDescent="0.25"/>
  <cols>
    <col min="1" max="2" width="10.7109375" customWidth="1"/>
    <col min="3" max="3" width="16.28515625" customWidth="1"/>
    <col min="4" max="4" width="19.5703125" customWidth="1"/>
    <col min="5" max="5" width="20.140625" customWidth="1"/>
    <col min="6" max="6" width="22.85546875" customWidth="1"/>
    <col min="7" max="7" width="22.5703125" customWidth="1"/>
    <col min="8" max="8" width="18.7109375" customWidth="1"/>
    <col min="9" max="26" width="10.7109375" customWidth="1"/>
  </cols>
  <sheetData>
    <row r="2" spans="1:26" x14ac:dyDescent="0.25">
      <c r="A2" s="2" t="s">
        <v>155</v>
      </c>
      <c r="B2" s="2" t="s">
        <v>0</v>
      </c>
    </row>
    <row r="3" spans="1:26" x14ac:dyDescent="0.25">
      <c r="A3" s="2" t="s">
        <v>156</v>
      </c>
      <c r="B3" s="2" t="s">
        <v>186</v>
      </c>
    </row>
    <row r="4" spans="1:26" x14ac:dyDescent="0.25">
      <c r="A4" s="2" t="s">
        <v>158</v>
      </c>
      <c r="B4" s="97" t="s">
        <v>188</v>
      </c>
    </row>
    <row r="5" spans="1:26" x14ac:dyDescent="0.25">
      <c r="A5" s="2"/>
      <c r="B5" s="75"/>
    </row>
    <row r="6" spans="1:26" x14ac:dyDescent="0.25">
      <c r="A6" s="2"/>
      <c r="B6" s="75" t="s">
        <v>160</v>
      </c>
      <c r="D6" s="76" t="s">
        <v>161</v>
      </c>
    </row>
    <row r="7" spans="1:26" x14ac:dyDescent="0.25">
      <c r="A7" s="2"/>
      <c r="B7" s="75" t="s">
        <v>162</v>
      </c>
      <c r="D7" s="6">
        <v>116000</v>
      </c>
    </row>
    <row r="8" spans="1:26" x14ac:dyDescent="0.25">
      <c r="A8" s="2"/>
      <c r="B8" s="75" t="s">
        <v>15</v>
      </c>
      <c r="D8" s="6">
        <f>92800+23200</f>
        <v>116000</v>
      </c>
    </row>
    <row r="9" spans="1:26" x14ac:dyDescent="0.25">
      <c r="A9" s="2"/>
      <c r="B9" s="78" t="s">
        <v>163</v>
      </c>
      <c r="C9" s="79"/>
      <c r="D9" s="80">
        <f>+D7-D8</f>
        <v>0</v>
      </c>
    </row>
    <row r="10" spans="1:26" x14ac:dyDescent="0.25">
      <c r="A10" s="2"/>
      <c r="B10" s="75" t="s">
        <v>10</v>
      </c>
      <c r="D10" s="65">
        <v>0</v>
      </c>
    </row>
    <row r="11" spans="1:26" x14ac:dyDescent="0.25">
      <c r="A11" s="2"/>
      <c r="B11" s="78" t="s">
        <v>164</v>
      </c>
      <c r="C11" s="79"/>
      <c r="D11" s="80">
        <f>+D9-D10</f>
        <v>0</v>
      </c>
    </row>
    <row r="13" spans="1:26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14" spans="1:26" x14ac:dyDescent="0.25">
      <c r="A14" s="83"/>
      <c r="B14" s="84"/>
      <c r="C14" s="83"/>
      <c r="D14" s="86"/>
      <c r="E14" s="85"/>
      <c r="F14" s="98"/>
      <c r="G14" s="85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spans="1:26" x14ac:dyDescent="0.25">
      <c r="E15" s="65">
        <f t="shared" ref="E15:G15" si="0">SUM(E14)</f>
        <v>0</v>
      </c>
      <c r="F15" s="65">
        <f t="shared" si="0"/>
        <v>0</v>
      </c>
      <c r="G15" s="65">
        <f t="shared" si="0"/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H1000"/>
  <sheetViews>
    <sheetView workbookViewId="0"/>
  </sheetViews>
  <sheetFormatPr baseColWidth="10" defaultColWidth="14.42578125" defaultRowHeight="15" customHeight="1" x14ac:dyDescent="0.25"/>
  <cols>
    <col min="1" max="2" width="10.7109375" customWidth="1"/>
    <col min="3" max="3" width="16.28515625" customWidth="1"/>
    <col min="4" max="4" width="19.5703125" customWidth="1"/>
    <col min="5" max="5" width="20.140625" customWidth="1"/>
    <col min="6" max="6" width="22.85546875" customWidth="1"/>
    <col min="7" max="7" width="22.5703125" customWidth="1"/>
    <col min="8" max="8" width="18.7109375" customWidth="1"/>
  </cols>
  <sheetData>
    <row r="2" spans="1:8" x14ac:dyDescent="0.25">
      <c r="A2" s="2" t="s">
        <v>155</v>
      </c>
      <c r="B2" s="2" t="s">
        <v>0</v>
      </c>
    </row>
    <row r="3" spans="1:8" x14ac:dyDescent="0.25">
      <c r="A3" s="2" t="s">
        <v>156</v>
      </c>
      <c r="B3" s="2" t="s">
        <v>189</v>
      </c>
    </row>
    <row r="4" spans="1:8" x14ac:dyDescent="0.25">
      <c r="A4" s="2" t="s">
        <v>158</v>
      </c>
      <c r="B4" s="75" t="s">
        <v>159</v>
      </c>
    </row>
    <row r="5" spans="1:8" x14ac:dyDescent="0.25">
      <c r="A5" s="2"/>
      <c r="B5" s="75"/>
    </row>
    <row r="6" spans="1:8" x14ac:dyDescent="0.25">
      <c r="A6" s="2"/>
      <c r="B6" s="75" t="s">
        <v>160</v>
      </c>
      <c r="D6" s="76" t="s">
        <v>161</v>
      </c>
    </row>
    <row r="7" spans="1:8" x14ac:dyDescent="0.25">
      <c r="A7" s="2"/>
      <c r="B7" s="75" t="s">
        <v>162</v>
      </c>
      <c r="D7" s="6">
        <v>577461.22399999993</v>
      </c>
    </row>
    <row r="8" spans="1:8" x14ac:dyDescent="0.25">
      <c r="A8" s="2"/>
      <c r="B8" s="75" t="s">
        <v>15</v>
      </c>
      <c r="D8" s="6">
        <v>313200</v>
      </c>
    </row>
    <row r="9" spans="1:8" x14ac:dyDescent="0.25">
      <c r="A9" s="2"/>
      <c r="B9" s="78" t="s">
        <v>163</v>
      </c>
      <c r="C9" s="79"/>
      <c r="D9" s="80">
        <f>+D7-D8</f>
        <v>264261.22399999993</v>
      </c>
    </row>
    <row r="10" spans="1:8" x14ac:dyDescent="0.25">
      <c r="A10" s="2"/>
      <c r="B10" s="75" t="s">
        <v>10</v>
      </c>
      <c r="D10" s="65">
        <v>0</v>
      </c>
    </row>
    <row r="11" spans="1:8" x14ac:dyDescent="0.25">
      <c r="A11" s="2"/>
      <c r="B11" s="78" t="s">
        <v>164</v>
      </c>
      <c r="C11" s="79"/>
      <c r="D11" s="80">
        <f>+D9-D10</f>
        <v>264261.22399999993</v>
      </c>
    </row>
    <row r="13" spans="1:8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H1000"/>
  <sheetViews>
    <sheetView workbookViewId="0"/>
  </sheetViews>
  <sheetFormatPr baseColWidth="10" defaultColWidth="14.42578125" defaultRowHeight="15" customHeight="1" x14ac:dyDescent="0.25"/>
  <cols>
    <col min="1" max="2" width="10.7109375" customWidth="1"/>
    <col min="3" max="3" width="16.28515625" customWidth="1"/>
    <col min="4" max="4" width="28.7109375" customWidth="1"/>
    <col min="5" max="5" width="20.140625" customWidth="1"/>
    <col min="6" max="6" width="22.85546875" customWidth="1"/>
    <col min="7" max="7" width="22.5703125" customWidth="1"/>
    <col min="8" max="8" width="18.7109375" customWidth="1"/>
  </cols>
  <sheetData>
    <row r="2" spans="1:8" x14ac:dyDescent="0.25">
      <c r="A2" s="2" t="s">
        <v>155</v>
      </c>
      <c r="B2" s="2" t="s">
        <v>0</v>
      </c>
    </row>
    <row r="3" spans="1:8" x14ac:dyDescent="0.25">
      <c r="A3" s="2" t="s">
        <v>156</v>
      </c>
      <c r="B3" s="2" t="s">
        <v>190</v>
      </c>
    </row>
    <row r="4" spans="1:8" x14ac:dyDescent="0.25">
      <c r="A4" s="2" t="s">
        <v>158</v>
      </c>
      <c r="B4" s="75" t="s">
        <v>159</v>
      </c>
    </row>
    <row r="5" spans="1:8" x14ac:dyDescent="0.25">
      <c r="A5" s="2"/>
      <c r="B5" s="75"/>
    </row>
    <row r="6" spans="1:8" x14ac:dyDescent="0.25">
      <c r="A6" s="2"/>
      <c r="B6" s="75" t="s">
        <v>160</v>
      </c>
      <c r="D6" s="76" t="s">
        <v>161</v>
      </c>
    </row>
    <row r="7" spans="1:8" x14ac:dyDescent="0.25">
      <c r="A7" s="2"/>
      <c r="B7" s="75" t="s">
        <v>162</v>
      </c>
      <c r="D7" s="77">
        <v>43754583.225813262</v>
      </c>
    </row>
    <row r="8" spans="1:8" x14ac:dyDescent="0.25">
      <c r="A8" s="2"/>
      <c r="B8" s="75" t="s">
        <v>15</v>
      </c>
      <c r="D8" s="99">
        <v>41364024.487800017</v>
      </c>
    </row>
    <row r="9" spans="1:8" x14ac:dyDescent="0.25">
      <c r="A9" s="2"/>
      <c r="B9" s="78" t="s">
        <v>163</v>
      </c>
      <c r="C9" s="79"/>
      <c r="D9" s="80">
        <f>+D7-D8</f>
        <v>2390558.7380132452</v>
      </c>
    </row>
    <row r="10" spans="1:8" x14ac:dyDescent="0.25">
      <c r="A10" s="2"/>
      <c r="B10" s="75" t="s">
        <v>191</v>
      </c>
      <c r="D10" s="65">
        <f>+D7*5%</f>
        <v>2187729.1612906633</v>
      </c>
    </row>
    <row r="11" spans="1:8" x14ac:dyDescent="0.25">
      <c r="A11" s="2"/>
      <c r="B11" s="78" t="s">
        <v>164</v>
      </c>
      <c r="C11" s="79"/>
      <c r="D11" s="80">
        <f>+D9-D10</f>
        <v>202829.57672258187</v>
      </c>
    </row>
    <row r="13" spans="1:8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14" spans="1:8" x14ac:dyDescent="0.25">
      <c r="A14" s="83"/>
      <c r="B14" s="84"/>
      <c r="C14" s="83"/>
      <c r="D14" s="86"/>
      <c r="E14" s="87"/>
      <c r="F14" s="87"/>
      <c r="G14" s="87"/>
    </row>
    <row r="15" spans="1:8" x14ac:dyDescent="0.25">
      <c r="E15" s="100">
        <f t="shared" ref="E15:G15" si="0">SUM(E14)</f>
        <v>0</v>
      </c>
      <c r="F15" s="100">
        <f t="shared" si="0"/>
        <v>0</v>
      </c>
      <c r="G15" s="100">
        <f t="shared" si="0"/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H1000"/>
  <sheetViews>
    <sheetView workbookViewId="0">
      <selection activeCell="C17" sqref="C17"/>
    </sheetView>
  </sheetViews>
  <sheetFormatPr baseColWidth="10" defaultColWidth="14.42578125" defaultRowHeight="15" customHeight="1" x14ac:dyDescent="0.25"/>
  <cols>
    <col min="1" max="1" width="10.7109375" customWidth="1"/>
    <col min="2" max="2" width="13" customWidth="1"/>
    <col min="3" max="3" width="22.28515625" customWidth="1"/>
    <col min="4" max="4" width="26.42578125" customWidth="1"/>
    <col min="5" max="5" width="21.42578125" customWidth="1"/>
    <col min="6" max="6" width="21.85546875" customWidth="1"/>
    <col min="7" max="7" width="22.5703125" customWidth="1"/>
    <col min="8" max="8" width="18.7109375" customWidth="1"/>
  </cols>
  <sheetData>
    <row r="2" spans="1:8" x14ac:dyDescent="0.25">
      <c r="A2" s="2" t="s">
        <v>155</v>
      </c>
      <c r="B2" s="2" t="s">
        <v>0</v>
      </c>
    </row>
    <row r="3" spans="1:8" x14ac:dyDescent="0.25">
      <c r="A3" s="2" t="s">
        <v>156</v>
      </c>
      <c r="B3" s="2" t="s">
        <v>192</v>
      </c>
    </row>
    <row r="4" spans="1:8" x14ac:dyDescent="0.25">
      <c r="A4" s="2" t="s">
        <v>158</v>
      </c>
      <c r="B4" s="75" t="s">
        <v>193</v>
      </c>
    </row>
    <row r="5" spans="1:8" x14ac:dyDescent="0.25">
      <c r="A5" s="2"/>
      <c r="B5" s="75"/>
    </row>
    <row r="6" spans="1:8" x14ac:dyDescent="0.25">
      <c r="A6" s="2"/>
      <c r="B6" s="75" t="s">
        <v>160</v>
      </c>
      <c r="D6" s="76" t="s">
        <v>161</v>
      </c>
    </row>
    <row r="7" spans="1:8" x14ac:dyDescent="0.25">
      <c r="A7" s="2"/>
      <c r="B7" s="75" t="s">
        <v>162</v>
      </c>
      <c r="D7" s="77">
        <v>4858114.799999998</v>
      </c>
    </row>
    <row r="8" spans="1:8" x14ac:dyDescent="0.25">
      <c r="A8" s="2"/>
      <c r="B8" s="75" t="s">
        <v>15</v>
      </c>
      <c r="D8" s="99">
        <v>4858114.799999998</v>
      </c>
    </row>
    <row r="9" spans="1:8" x14ac:dyDescent="0.25">
      <c r="A9" s="2"/>
      <c r="B9" s="78" t="s">
        <v>163</v>
      </c>
      <c r="C9" s="79"/>
      <c r="D9" s="80">
        <f>+D7-D8</f>
        <v>0</v>
      </c>
    </row>
    <row r="10" spans="1:8" x14ac:dyDescent="0.25">
      <c r="A10" s="2"/>
      <c r="B10" s="75" t="s">
        <v>10</v>
      </c>
      <c r="D10" s="65">
        <v>0</v>
      </c>
    </row>
    <row r="11" spans="1:8" x14ac:dyDescent="0.25">
      <c r="A11" s="2"/>
      <c r="B11" s="78" t="s">
        <v>164</v>
      </c>
      <c r="C11" s="79"/>
      <c r="D11" s="80">
        <f>+D9-D10</f>
        <v>0</v>
      </c>
    </row>
    <row r="13" spans="1:8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14" spans="1:8" ht="15.75" customHeight="1" x14ac:dyDescent="0.25">
      <c r="A14" s="101"/>
      <c r="B14" s="101"/>
      <c r="C14" s="101"/>
      <c r="D14" s="101"/>
      <c r="E14" s="102"/>
      <c r="F14" s="102"/>
      <c r="G14" s="103"/>
      <c r="H14" s="104"/>
    </row>
    <row r="15" spans="1:8" ht="15.75" customHeight="1" x14ac:dyDescent="0.25">
      <c r="A15" s="94"/>
      <c r="E15" s="105">
        <f t="shared" ref="E15:G15" si="0">+E14</f>
        <v>0</v>
      </c>
      <c r="F15" s="105">
        <f t="shared" si="0"/>
        <v>0</v>
      </c>
      <c r="G15" s="105">
        <f t="shared" si="0"/>
        <v>0</v>
      </c>
    </row>
    <row r="17" spans="4:7" ht="15.75" customHeight="1" x14ac:dyDescent="0.25">
      <c r="D17" s="106" t="s">
        <v>194</v>
      </c>
      <c r="E17" s="65">
        <f t="shared" ref="E17:G17" si="1">+E15*17.5</f>
        <v>0</v>
      </c>
      <c r="F17" s="65">
        <f t="shared" si="1"/>
        <v>0</v>
      </c>
      <c r="G17" s="65">
        <f t="shared" si="1"/>
        <v>0</v>
      </c>
    </row>
    <row r="21" spans="4:7" ht="15.75" customHeight="1" x14ac:dyDescent="0.25"/>
    <row r="22" spans="4:7" ht="15.75" customHeight="1" x14ac:dyDescent="0.25"/>
    <row r="23" spans="4:7" ht="15.75" customHeight="1" x14ac:dyDescent="0.25"/>
    <row r="24" spans="4:7" ht="15.75" customHeight="1" x14ac:dyDescent="0.25"/>
    <row r="25" spans="4:7" ht="15.75" customHeight="1" x14ac:dyDescent="0.25"/>
    <row r="26" spans="4:7" ht="15.75" customHeight="1" x14ac:dyDescent="0.25"/>
    <row r="27" spans="4:7" ht="15.75" customHeight="1" x14ac:dyDescent="0.25"/>
    <row r="28" spans="4:7" ht="15.75" customHeight="1" x14ac:dyDescent="0.25"/>
    <row r="29" spans="4:7" ht="15.75" customHeight="1" x14ac:dyDescent="0.25"/>
    <row r="30" spans="4:7" ht="15.75" customHeight="1" x14ac:dyDescent="0.25"/>
    <row r="31" spans="4:7" ht="15.75" customHeight="1" x14ac:dyDescent="0.25"/>
    <row r="32" spans="4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H1000"/>
  <sheetViews>
    <sheetView workbookViewId="0"/>
  </sheetViews>
  <sheetFormatPr baseColWidth="10" defaultColWidth="14.42578125" defaultRowHeight="15" customHeight="1" x14ac:dyDescent="0.25"/>
  <cols>
    <col min="1" max="1" width="10.7109375" customWidth="1"/>
    <col min="2" max="2" width="13" customWidth="1"/>
    <col min="3" max="3" width="18.28515625" customWidth="1"/>
    <col min="4" max="4" width="29.140625" customWidth="1"/>
    <col min="5" max="5" width="21.42578125" customWidth="1"/>
    <col min="6" max="6" width="21.85546875" customWidth="1"/>
    <col min="7" max="7" width="22.5703125" customWidth="1"/>
    <col min="8" max="8" width="18.7109375" customWidth="1"/>
  </cols>
  <sheetData>
    <row r="2" spans="1:8" x14ac:dyDescent="0.25">
      <c r="A2" s="2" t="s">
        <v>155</v>
      </c>
      <c r="B2" s="2" t="s">
        <v>0</v>
      </c>
    </row>
    <row r="3" spans="1:8" x14ac:dyDescent="0.25">
      <c r="A3" s="2" t="s">
        <v>156</v>
      </c>
      <c r="B3" s="2" t="s">
        <v>195</v>
      </c>
    </row>
    <row r="4" spans="1:8" x14ac:dyDescent="0.25">
      <c r="A4" s="2" t="s">
        <v>158</v>
      </c>
      <c r="B4" s="97" t="s">
        <v>196</v>
      </c>
    </row>
    <row r="5" spans="1:8" x14ac:dyDescent="0.25">
      <c r="A5" s="2"/>
      <c r="B5" s="75"/>
    </row>
    <row r="6" spans="1:8" x14ac:dyDescent="0.25">
      <c r="A6" s="2"/>
      <c r="B6" s="75" t="s">
        <v>160</v>
      </c>
      <c r="D6" s="76" t="s">
        <v>161</v>
      </c>
    </row>
    <row r="7" spans="1:8" x14ac:dyDescent="0.25">
      <c r="A7" s="2"/>
      <c r="B7" s="75" t="s">
        <v>162</v>
      </c>
      <c r="D7" s="77">
        <v>27519817.959999997</v>
      </c>
      <c r="F7" s="6"/>
    </row>
    <row r="8" spans="1:8" x14ac:dyDescent="0.25">
      <c r="A8" s="2"/>
      <c r="B8" s="75" t="s">
        <v>15</v>
      </c>
      <c r="D8" s="77">
        <v>26992713.600000001</v>
      </c>
      <c r="F8" s="6"/>
    </row>
    <row r="9" spans="1:8" x14ac:dyDescent="0.25">
      <c r="A9" s="2"/>
      <c r="B9" s="78" t="s">
        <v>163</v>
      </c>
      <c r="C9" s="79"/>
      <c r="D9" s="80">
        <f>+D7-D8</f>
        <v>527104.35999999568</v>
      </c>
    </row>
    <row r="10" spans="1:8" x14ac:dyDescent="0.25">
      <c r="A10" s="2"/>
      <c r="B10" s="75" t="s">
        <v>10</v>
      </c>
      <c r="D10" s="65">
        <v>0</v>
      </c>
    </row>
    <row r="11" spans="1:8" x14ac:dyDescent="0.25">
      <c r="A11" s="2"/>
      <c r="B11" s="78" t="s">
        <v>164</v>
      </c>
      <c r="C11" s="79"/>
      <c r="D11" s="80">
        <f>+D9-D10</f>
        <v>527104.35999999568</v>
      </c>
    </row>
    <row r="13" spans="1:8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14" spans="1:8" x14ac:dyDescent="0.25">
      <c r="A14" s="94"/>
      <c r="B14" s="84"/>
      <c r="C14" s="83"/>
      <c r="D14" s="86"/>
      <c r="E14" s="107"/>
      <c r="F14" s="107"/>
      <c r="G14" s="107"/>
    </row>
    <row r="15" spans="1:8" x14ac:dyDescent="0.25">
      <c r="E15" s="108">
        <f t="shared" ref="E15:G15" si="0">SUM(E14)</f>
        <v>0</v>
      </c>
      <c r="F15" s="108">
        <f t="shared" si="0"/>
        <v>0</v>
      </c>
      <c r="G15" s="108">
        <f t="shared" si="0"/>
        <v>0</v>
      </c>
    </row>
    <row r="16" spans="1:8" x14ac:dyDescent="0.25">
      <c r="G16" s="65">
        <f>+G15*20</f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0"/>
  <sheetViews>
    <sheetView workbookViewId="0">
      <selection activeCell="C4" sqref="C4"/>
    </sheetView>
  </sheetViews>
  <sheetFormatPr baseColWidth="10" defaultColWidth="14.42578125" defaultRowHeight="15" customHeight="1" x14ac:dyDescent="0.25"/>
  <cols>
    <col min="1" max="2" width="10.7109375" customWidth="1"/>
    <col min="3" max="3" width="16.28515625" customWidth="1"/>
    <col min="4" max="4" width="27" customWidth="1"/>
    <col min="5" max="5" width="20.140625" customWidth="1"/>
    <col min="6" max="6" width="22.85546875" customWidth="1"/>
    <col min="7" max="7" width="22.5703125" customWidth="1"/>
    <col min="8" max="8" width="18.7109375" customWidth="1"/>
  </cols>
  <sheetData>
    <row r="1" spans="1:8" ht="63.75" customHeight="1" x14ac:dyDescent="0.25"/>
    <row r="2" spans="1:8" x14ac:dyDescent="0.25">
      <c r="A2" s="2" t="s">
        <v>155</v>
      </c>
      <c r="B2" s="2" t="s">
        <v>0</v>
      </c>
    </row>
    <row r="3" spans="1:8" x14ac:dyDescent="0.25">
      <c r="A3" s="2" t="s">
        <v>156</v>
      </c>
      <c r="B3" s="2" t="s">
        <v>197</v>
      </c>
    </row>
    <row r="4" spans="1:8" x14ac:dyDescent="0.25">
      <c r="A4" s="2" t="s">
        <v>158</v>
      </c>
      <c r="B4" s="75" t="s">
        <v>198</v>
      </c>
    </row>
    <row r="5" spans="1:8" x14ac:dyDescent="0.25">
      <c r="A5" s="2"/>
      <c r="B5" s="75"/>
    </row>
    <row r="6" spans="1:8" x14ac:dyDescent="0.25">
      <c r="A6" s="2"/>
      <c r="B6" s="75" t="s">
        <v>160</v>
      </c>
      <c r="D6" s="76" t="s">
        <v>161</v>
      </c>
    </row>
    <row r="7" spans="1:8" x14ac:dyDescent="0.25">
      <c r="A7" s="2"/>
      <c r="B7" s="75" t="s">
        <v>162</v>
      </c>
      <c r="D7" s="77">
        <v>4921927.0408000005</v>
      </c>
    </row>
    <row r="8" spans="1:8" x14ac:dyDescent="0.25">
      <c r="A8" s="2"/>
      <c r="B8" s="75" t="s">
        <v>15</v>
      </c>
      <c r="D8" s="77">
        <f>4044335.52+163958.58+19861.72</f>
        <v>4228155.8199999994</v>
      </c>
    </row>
    <row r="9" spans="1:8" x14ac:dyDescent="0.25">
      <c r="A9" s="2"/>
      <c r="B9" s="78" t="s">
        <v>163</v>
      </c>
      <c r="C9" s="79"/>
      <c r="D9" s="80">
        <f>+D7-D8</f>
        <v>693771.22080000117</v>
      </c>
    </row>
    <row r="10" spans="1:8" x14ac:dyDescent="0.25">
      <c r="A10" s="2"/>
      <c r="B10" s="75" t="s">
        <v>199</v>
      </c>
      <c r="D10" s="65">
        <f>+D7*10%</f>
        <v>492192.70408000005</v>
      </c>
    </row>
    <row r="11" spans="1:8" x14ac:dyDescent="0.25">
      <c r="A11" s="2"/>
      <c r="B11" s="78" t="s">
        <v>164</v>
      </c>
      <c r="C11" s="79"/>
      <c r="D11" s="80">
        <f>+D9-D10</f>
        <v>201578.51672000112</v>
      </c>
    </row>
    <row r="13" spans="1:8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14" spans="1:8" ht="15" customHeight="1" x14ac:dyDescent="0.25">
      <c r="A14" s="91"/>
      <c r="B14" s="84"/>
      <c r="C14" s="83"/>
      <c r="D14" s="91"/>
      <c r="E14" s="92"/>
      <c r="F14" s="92"/>
      <c r="G14" s="92"/>
      <c r="H14" s="104"/>
    </row>
    <row r="15" spans="1:8" ht="15" customHeight="1" x14ac:dyDescent="0.25">
      <c r="E15" s="100">
        <f t="shared" ref="E15:G15" si="0">+E14</f>
        <v>0</v>
      </c>
      <c r="F15" s="100">
        <f t="shared" si="0"/>
        <v>0</v>
      </c>
      <c r="G15" s="100">
        <f t="shared" si="0"/>
        <v>0</v>
      </c>
    </row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0"/>
  <sheetViews>
    <sheetView workbookViewId="0">
      <selection activeCell="D8" sqref="D8"/>
    </sheetView>
  </sheetViews>
  <sheetFormatPr baseColWidth="10" defaultColWidth="14.42578125" defaultRowHeight="15" customHeight="1" x14ac:dyDescent="0.25"/>
  <cols>
    <col min="1" max="2" width="10.7109375" customWidth="1"/>
    <col min="3" max="3" width="16.28515625" customWidth="1"/>
    <col min="4" max="4" width="23" customWidth="1"/>
    <col min="5" max="5" width="20.140625" customWidth="1"/>
    <col min="6" max="6" width="22.85546875" customWidth="1"/>
    <col min="7" max="7" width="22.5703125" customWidth="1"/>
    <col min="8" max="8" width="18.7109375" customWidth="1"/>
  </cols>
  <sheetData>
    <row r="1" spans="1:8" ht="64.5" customHeight="1" x14ac:dyDescent="0.25"/>
    <row r="2" spans="1:8" x14ac:dyDescent="0.25">
      <c r="A2" s="2" t="s">
        <v>155</v>
      </c>
      <c r="B2" s="2" t="s">
        <v>0</v>
      </c>
    </row>
    <row r="3" spans="1:8" x14ac:dyDescent="0.25">
      <c r="A3" s="2" t="s">
        <v>156</v>
      </c>
      <c r="B3" s="2" t="s">
        <v>197</v>
      </c>
    </row>
    <row r="4" spans="1:8" x14ac:dyDescent="0.25">
      <c r="A4" s="2" t="s">
        <v>158</v>
      </c>
      <c r="B4" s="124" t="s">
        <v>303</v>
      </c>
    </row>
    <row r="5" spans="1:8" x14ac:dyDescent="0.25">
      <c r="A5" s="2"/>
      <c r="B5" s="75"/>
    </row>
    <row r="6" spans="1:8" x14ac:dyDescent="0.25">
      <c r="A6" s="2"/>
      <c r="B6" s="75" t="s">
        <v>160</v>
      </c>
      <c r="D6" s="76" t="s">
        <v>161</v>
      </c>
    </row>
    <row r="7" spans="1:8" x14ac:dyDescent="0.25">
      <c r="A7" s="2"/>
      <c r="B7" s="75" t="s">
        <v>162</v>
      </c>
      <c r="D7" s="87">
        <v>53511406.700000003</v>
      </c>
    </row>
    <row r="8" spans="1:8" x14ac:dyDescent="0.25">
      <c r="A8" s="2"/>
      <c r="B8" s="75" t="s">
        <v>15</v>
      </c>
      <c r="D8" s="77">
        <v>20106844.02</v>
      </c>
    </row>
    <row r="9" spans="1:8" x14ac:dyDescent="0.25">
      <c r="A9" s="2"/>
      <c r="B9" s="78" t="s">
        <v>163</v>
      </c>
      <c r="C9" s="79"/>
      <c r="D9" s="80">
        <f>+D7-D8</f>
        <v>33404562.680000003</v>
      </c>
    </row>
    <row r="10" spans="1:8" x14ac:dyDescent="0.25">
      <c r="A10" s="2"/>
      <c r="B10" s="75" t="s">
        <v>199</v>
      </c>
      <c r="D10" s="65">
        <f>+D7*10%</f>
        <v>5351140.6700000009</v>
      </c>
    </row>
    <row r="11" spans="1:8" x14ac:dyDescent="0.25">
      <c r="A11" s="2"/>
      <c r="B11" s="78" t="s">
        <v>164</v>
      </c>
      <c r="C11" s="79"/>
      <c r="D11" s="80">
        <f>+D9-D10</f>
        <v>28053422.010000002</v>
      </c>
    </row>
    <row r="13" spans="1:8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14" spans="1:8" x14ac:dyDescent="0.25">
      <c r="A14" s="94"/>
      <c r="B14" s="84"/>
      <c r="C14" s="83"/>
      <c r="D14" s="3"/>
      <c r="E14" s="87"/>
      <c r="F14" s="87"/>
      <c r="G14" s="87"/>
    </row>
    <row r="15" spans="1:8" x14ac:dyDescent="0.25">
      <c r="E15" s="100">
        <f t="shared" ref="E15:G15" si="0">SUM(E14)</f>
        <v>0</v>
      </c>
      <c r="F15" s="100">
        <f t="shared" si="0"/>
        <v>0</v>
      </c>
      <c r="G15" s="100">
        <f t="shared" si="0"/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988"/>
  <sheetViews>
    <sheetView workbookViewId="0">
      <selection activeCell="D10" sqref="D10"/>
    </sheetView>
  </sheetViews>
  <sheetFormatPr baseColWidth="10" defaultColWidth="14.42578125" defaultRowHeight="15" customHeight="1" x14ac:dyDescent="0.25"/>
  <cols>
    <col min="1" max="1" width="10.7109375" customWidth="1"/>
    <col min="2" max="2" width="13.140625" customWidth="1"/>
    <col min="3" max="3" width="16.28515625" customWidth="1"/>
    <col min="4" max="4" width="19.5703125" customWidth="1"/>
    <col min="5" max="5" width="20.140625" customWidth="1"/>
    <col min="6" max="6" width="22.85546875" customWidth="1"/>
    <col min="7" max="7" width="22.5703125" customWidth="1"/>
    <col min="8" max="8" width="18.7109375" customWidth="1"/>
    <col min="9" max="26" width="10.7109375" customWidth="1"/>
  </cols>
  <sheetData>
    <row r="1" spans="1:26" ht="69" customHeight="1" x14ac:dyDescent="0.25"/>
    <row r="2" spans="1:26" x14ac:dyDescent="0.25">
      <c r="A2" s="2" t="s">
        <v>155</v>
      </c>
      <c r="B2" s="2" t="s">
        <v>0</v>
      </c>
    </row>
    <row r="3" spans="1:26" x14ac:dyDescent="0.25">
      <c r="A3" s="2" t="s">
        <v>156</v>
      </c>
      <c r="B3" s="2" t="s">
        <v>200</v>
      </c>
    </row>
    <row r="4" spans="1:26" x14ac:dyDescent="0.25">
      <c r="A4" s="2" t="s">
        <v>158</v>
      </c>
      <c r="B4" s="75" t="s">
        <v>308</v>
      </c>
    </row>
    <row r="5" spans="1:26" x14ac:dyDescent="0.25">
      <c r="A5" s="2"/>
      <c r="B5" s="75"/>
    </row>
    <row r="6" spans="1:26" x14ac:dyDescent="0.25">
      <c r="A6" s="2"/>
      <c r="B6" s="75" t="s">
        <v>160</v>
      </c>
      <c r="D6" s="76" t="s">
        <v>161</v>
      </c>
    </row>
    <row r="7" spans="1:26" x14ac:dyDescent="0.25">
      <c r="A7" s="2"/>
      <c r="B7" s="75" t="s">
        <v>162</v>
      </c>
      <c r="D7" s="77">
        <f>27857430.6472+426871.47</f>
        <v>28284302.117199998</v>
      </c>
    </row>
    <row r="8" spans="1:26" x14ac:dyDescent="0.25">
      <c r="A8" s="2"/>
      <c r="B8" s="75" t="s">
        <v>15</v>
      </c>
      <c r="D8" s="77">
        <f>27141397.12+158884.91+426871.47</f>
        <v>27727153.5</v>
      </c>
    </row>
    <row r="9" spans="1:26" x14ac:dyDescent="0.25">
      <c r="A9" s="2"/>
      <c r="B9" s="78" t="s">
        <v>163</v>
      </c>
      <c r="C9" s="79"/>
      <c r="D9" s="80">
        <f>+D7-D8</f>
        <v>557148.61719999835</v>
      </c>
    </row>
    <row r="10" spans="1:26" x14ac:dyDescent="0.25">
      <c r="A10" s="2"/>
      <c r="B10" s="75" t="s">
        <v>202</v>
      </c>
      <c r="D10" s="6">
        <f>534500.14+22648.47</f>
        <v>557148.61</v>
      </c>
    </row>
    <row r="11" spans="1:26" x14ac:dyDescent="0.25">
      <c r="A11" s="2"/>
      <c r="B11" s="78" t="s">
        <v>164</v>
      </c>
      <c r="C11" s="79"/>
      <c r="D11" s="80">
        <f>+D9-D10</f>
        <v>7.1999983629211783E-3</v>
      </c>
    </row>
    <row r="13" spans="1:26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14" spans="1:26" ht="18.75" customHeight="1" x14ac:dyDescent="0.25">
      <c r="A14" s="83"/>
      <c r="B14" s="84"/>
      <c r="C14" s="83"/>
      <c r="D14" s="83"/>
      <c r="E14" s="85"/>
      <c r="F14" s="85"/>
      <c r="G14" s="85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spans="1:26" x14ac:dyDescent="0.25">
      <c r="E15" s="65">
        <f t="shared" ref="E15:G15" si="0">SUM(E14)</f>
        <v>0</v>
      </c>
      <c r="F15" s="65">
        <f t="shared" si="0"/>
        <v>0</v>
      </c>
      <c r="G15" s="65">
        <f t="shared" si="0"/>
        <v>0</v>
      </c>
    </row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</sheetData>
  <pageMargins left="0.7" right="0.7" top="0.75" bottom="0.75" header="0" footer="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000"/>
  <sheetViews>
    <sheetView workbookViewId="0">
      <selection activeCell="D25" sqref="D25"/>
    </sheetView>
  </sheetViews>
  <sheetFormatPr baseColWidth="10" defaultColWidth="14.42578125" defaultRowHeight="15" customHeight="1" x14ac:dyDescent="0.25"/>
  <cols>
    <col min="1" max="2" width="10.7109375" customWidth="1"/>
    <col min="3" max="3" width="16.28515625" customWidth="1"/>
    <col min="4" max="4" width="19.5703125" customWidth="1"/>
    <col min="5" max="5" width="20.140625" customWidth="1"/>
    <col min="6" max="6" width="22.85546875" customWidth="1"/>
    <col min="7" max="7" width="22.5703125" customWidth="1"/>
    <col min="8" max="8" width="18.7109375" customWidth="1"/>
  </cols>
  <sheetData>
    <row r="1" spans="1:8" ht="68.25" customHeight="1" x14ac:dyDescent="0.25"/>
    <row r="2" spans="1:8" x14ac:dyDescent="0.25">
      <c r="A2" s="2" t="s">
        <v>155</v>
      </c>
      <c r="B2" s="2" t="s">
        <v>0</v>
      </c>
    </row>
    <row r="3" spans="1:8" x14ac:dyDescent="0.25">
      <c r="A3" s="2" t="s">
        <v>156</v>
      </c>
      <c r="B3" s="2" t="s">
        <v>203</v>
      </c>
    </row>
    <row r="4" spans="1:8" x14ac:dyDescent="0.25">
      <c r="A4" s="2" t="s">
        <v>158</v>
      </c>
      <c r="B4" s="75" t="s">
        <v>204</v>
      </c>
    </row>
    <row r="5" spans="1:8" x14ac:dyDescent="0.25">
      <c r="A5" s="2"/>
      <c r="B5" s="75"/>
    </row>
    <row r="6" spans="1:8" x14ac:dyDescent="0.25">
      <c r="A6" s="2"/>
      <c r="B6" s="75" t="s">
        <v>160</v>
      </c>
      <c r="D6" s="76" t="s">
        <v>161</v>
      </c>
    </row>
    <row r="7" spans="1:8" x14ac:dyDescent="0.25">
      <c r="A7" s="2"/>
      <c r="B7" s="75" t="s">
        <v>162</v>
      </c>
      <c r="D7" s="77">
        <f>53542531.9992+89038.49</f>
        <v>53631570.489200003</v>
      </c>
    </row>
    <row r="8" spans="1:8" x14ac:dyDescent="0.25">
      <c r="A8" s="2"/>
      <c r="B8" s="75" t="s">
        <v>15</v>
      </c>
      <c r="D8" s="109">
        <f>49735616.11+100000+250000+100000+100000</f>
        <v>50285616.109999999</v>
      </c>
    </row>
    <row r="9" spans="1:8" x14ac:dyDescent="0.25">
      <c r="A9" s="2"/>
      <c r="B9" s="78" t="s">
        <v>163</v>
      </c>
      <c r="C9" s="79"/>
      <c r="D9" s="80">
        <f>+D7-D8</f>
        <v>3345954.379200004</v>
      </c>
    </row>
    <row r="10" spans="1:8" x14ac:dyDescent="0.25">
      <c r="A10" s="2"/>
      <c r="B10" s="75" t="s">
        <v>10</v>
      </c>
      <c r="D10" s="65">
        <v>0</v>
      </c>
    </row>
    <row r="11" spans="1:8" x14ac:dyDescent="0.25">
      <c r="A11" s="2"/>
      <c r="B11" s="78" t="s">
        <v>164</v>
      </c>
      <c r="C11" s="79"/>
      <c r="D11" s="80">
        <f>+D9-D10</f>
        <v>3345954.379200004</v>
      </c>
    </row>
    <row r="13" spans="1:8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14" spans="1:8" x14ac:dyDescent="0.25">
      <c r="A14" s="94"/>
      <c r="B14" s="84"/>
      <c r="C14" s="83"/>
    </row>
    <row r="15" spans="1:8" x14ac:dyDescent="0.25">
      <c r="B15" s="83"/>
      <c r="C15" s="86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000"/>
  <sheetViews>
    <sheetView workbookViewId="0"/>
  </sheetViews>
  <sheetFormatPr baseColWidth="10" defaultColWidth="14.42578125" defaultRowHeight="15" customHeight="1" x14ac:dyDescent="0.25"/>
  <cols>
    <col min="1" max="2" width="10.7109375" customWidth="1"/>
    <col min="3" max="3" width="16.28515625" customWidth="1"/>
    <col min="4" max="4" width="19.5703125" customWidth="1"/>
    <col min="5" max="5" width="20.140625" customWidth="1"/>
    <col min="6" max="6" width="22.85546875" customWidth="1"/>
    <col min="7" max="7" width="22.5703125" customWidth="1"/>
    <col min="8" max="8" width="18.7109375" customWidth="1"/>
  </cols>
  <sheetData>
    <row r="1" spans="1:8" ht="64.5" customHeight="1" x14ac:dyDescent="0.25"/>
    <row r="2" spans="1:8" x14ac:dyDescent="0.25">
      <c r="A2" s="2" t="s">
        <v>155</v>
      </c>
      <c r="B2" s="2" t="s">
        <v>0</v>
      </c>
    </row>
    <row r="3" spans="1:8" x14ac:dyDescent="0.25">
      <c r="A3" s="2" t="s">
        <v>156</v>
      </c>
      <c r="B3" s="2" t="s">
        <v>203</v>
      </c>
    </row>
    <row r="4" spans="1:8" x14ac:dyDescent="0.25">
      <c r="A4" s="2" t="s">
        <v>158</v>
      </c>
      <c r="B4" s="75" t="s">
        <v>205</v>
      </c>
    </row>
    <row r="5" spans="1:8" x14ac:dyDescent="0.25">
      <c r="A5" s="2"/>
      <c r="B5" s="75"/>
    </row>
    <row r="6" spans="1:8" x14ac:dyDescent="0.25">
      <c r="A6" s="2"/>
      <c r="B6" s="75" t="s">
        <v>160</v>
      </c>
      <c r="D6" s="76" t="s">
        <v>161</v>
      </c>
    </row>
    <row r="7" spans="1:8" x14ac:dyDescent="0.25">
      <c r="A7" s="2"/>
      <c r="B7" s="75" t="s">
        <v>162</v>
      </c>
      <c r="D7" s="110">
        <v>818274.32399999991</v>
      </c>
    </row>
    <row r="8" spans="1:8" x14ac:dyDescent="0.25">
      <c r="A8" s="2"/>
      <c r="B8" s="75" t="s">
        <v>15</v>
      </c>
      <c r="D8" s="109">
        <f>291447.33+82639.61+86301.63+45345.82</f>
        <v>505734.39</v>
      </c>
    </row>
    <row r="9" spans="1:8" x14ac:dyDescent="0.25">
      <c r="A9" s="2"/>
      <c r="B9" s="78" t="s">
        <v>163</v>
      </c>
      <c r="C9" s="79"/>
      <c r="D9" s="80">
        <f>+D7-D8</f>
        <v>312539.93399999989</v>
      </c>
    </row>
    <row r="10" spans="1:8" x14ac:dyDescent="0.25">
      <c r="A10" s="2"/>
      <c r="B10" s="75" t="s">
        <v>10</v>
      </c>
      <c r="D10" s="65">
        <v>0</v>
      </c>
    </row>
    <row r="11" spans="1:8" x14ac:dyDescent="0.25">
      <c r="A11" s="2"/>
      <c r="B11" s="78" t="s">
        <v>164</v>
      </c>
      <c r="C11" s="79"/>
      <c r="D11" s="80">
        <f>+D9-D10</f>
        <v>312539.93399999989</v>
      </c>
    </row>
    <row r="13" spans="1:8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14" spans="1:8" x14ac:dyDescent="0.25">
      <c r="A14" s="94"/>
      <c r="B14" s="84"/>
      <c r="C14" s="83"/>
      <c r="D14" s="1"/>
      <c r="E14" s="90"/>
      <c r="F14" s="90"/>
      <c r="G14" s="90"/>
    </row>
    <row r="15" spans="1:8" x14ac:dyDescent="0.25">
      <c r="E15" s="65">
        <f>+E14</f>
        <v>0</v>
      </c>
      <c r="F15" s="65">
        <v>0</v>
      </c>
      <c r="G15" s="65">
        <f>+G14</f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1000"/>
  <sheetViews>
    <sheetView workbookViewId="0">
      <selection activeCell="D8" sqref="D8"/>
    </sheetView>
  </sheetViews>
  <sheetFormatPr baseColWidth="10" defaultColWidth="14.42578125" defaultRowHeight="15" customHeight="1" x14ac:dyDescent="0.25"/>
  <cols>
    <col min="1" max="2" width="10.7109375" customWidth="1"/>
    <col min="3" max="3" width="16.28515625" customWidth="1"/>
    <col min="4" max="4" width="19.5703125" customWidth="1"/>
    <col min="5" max="5" width="20.140625" customWidth="1"/>
    <col min="6" max="6" width="22.85546875" customWidth="1"/>
    <col min="7" max="7" width="22.5703125" customWidth="1"/>
    <col min="8" max="8" width="18.7109375" customWidth="1"/>
  </cols>
  <sheetData>
    <row r="1" spans="1:8" ht="62.25" customHeight="1" x14ac:dyDescent="0.25"/>
    <row r="2" spans="1:8" x14ac:dyDescent="0.25">
      <c r="A2" s="2" t="s">
        <v>155</v>
      </c>
      <c r="B2" s="2" t="s">
        <v>0</v>
      </c>
    </row>
    <row r="3" spans="1:8" x14ac:dyDescent="0.25">
      <c r="A3" s="2" t="s">
        <v>156</v>
      </c>
      <c r="B3" s="2" t="s">
        <v>206</v>
      </c>
    </row>
    <row r="4" spans="1:8" x14ac:dyDescent="0.25">
      <c r="A4" s="2" t="s">
        <v>158</v>
      </c>
      <c r="B4" s="75" t="s">
        <v>207</v>
      </c>
    </row>
    <row r="5" spans="1:8" x14ac:dyDescent="0.25">
      <c r="A5" s="2"/>
      <c r="B5" s="75"/>
    </row>
    <row r="6" spans="1:8" x14ac:dyDescent="0.25">
      <c r="A6" s="2"/>
      <c r="B6" s="75" t="s">
        <v>160</v>
      </c>
      <c r="D6" s="76" t="s">
        <v>161</v>
      </c>
    </row>
    <row r="7" spans="1:8" x14ac:dyDescent="0.25">
      <c r="A7" s="2"/>
      <c r="B7" s="75" t="s">
        <v>162</v>
      </c>
      <c r="D7" s="77">
        <v>146698445.90000001</v>
      </c>
    </row>
    <row r="8" spans="1:8" x14ac:dyDescent="0.25">
      <c r="A8" s="2"/>
      <c r="B8" s="75" t="s">
        <v>15</v>
      </c>
      <c r="D8" s="77">
        <f>90929473.01+370526.41</f>
        <v>91299999.420000002</v>
      </c>
    </row>
    <row r="9" spans="1:8" x14ac:dyDescent="0.25">
      <c r="A9" s="2"/>
      <c r="B9" s="78" t="s">
        <v>163</v>
      </c>
      <c r="C9" s="79"/>
      <c r="D9" s="80">
        <f>+D7-D8</f>
        <v>55398446.480000004</v>
      </c>
    </row>
    <row r="10" spans="1:8" x14ac:dyDescent="0.25">
      <c r="A10" s="2"/>
      <c r="B10" s="75" t="s">
        <v>199</v>
      </c>
      <c r="D10" s="65">
        <f>+D7*10%</f>
        <v>14669844.590000002</v>
      </c>
    </row>
    <row r="11" spans="1:8" x14ac:dyDescent="0.25">
      <c r="A11" s="2"/>
      <c r="B11" s="78" t="s">
        <v>164</v>
      </c>
      <c r="C11" s="79"/>
      <c r="D11" s="80">
        <f>+D9-D10</f>
        <v>40728601.890000001</v>
      </c>
    </row>
    <row r="13" spans="1:8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14" spans="1:8" x14ac:dyDescent="0.25">
      <c r="A14" s="83"/>
      <c r="B14" s="84"/>
      <c r="C14" s="83"/>
      <c r="D14" s="83"/>
      <c r="E14" s="88"/>
      <c r="F14" s="88"/>
      <c r="G14" s="88"/>
    </row>
    <row r="15" spans="1:8" x14ac:dyDescent="0.25">
      <c r="E15" s="65">
        <f t="shared" ref="E15:G15" si="0">SUM(E14)</f>
        <v>0</v>
      </c>
      <c r="F15" s="65">
        <f t="shared" si="0"/>
        <v>0</v>
      </c>
      <c r="G15" s="65">
        <f t="shared" si="0"/>
        <v>0</v>
      </c>
    </row>
    <row r="21" customFormat="1" ht="15.75" customHeight="1" x14ac:dyDescent="0.25"/>
    <row r="22" customFormat="1" ht="15.75" customHeight="1" x14ac:dyDescent="0.25"/>
    <row r="23" customFormat="1" ht="15.75" customHeight="1" x14ac:dyDescent="0.25"/>
    <row r="24" customFormat="1" ht="15.75" customHeight="1" x14ac:dyDescent="0.25"/>
    <row r="25" customFormat="1" ht="15.75" customHeight="1" x14ac:dyDescent="0.25"/>
    <row r="26" customFormat="1" ht="15.75" customHeight="1" x14ac:dyDescent="0.25"/>
    <row r="27" customFormat="1" ht="15.75" customHeight="1" x14ac:dyDescent="0.25"/>
    <row r="28" customFormat="1" ht="15.75" customHeight="1" x14ac:dyDescent="0.25"/>
    <row r="29" customFormat="1" ht="15.75" customHeight="1" x14ac:dyDescent="0.25"/>
    <row r="30" customFormat="1" ht="15.75" customHeight="1" x14ac:dyDescent="0.25"/>
    <row r="31" customFormat="1" ht="15.75" customHeight="1" x14ac:dyDescent="0.25"/>
    <row r="32" customFormat="1" ht="15.75" customHeight="1" x14ac:dyDescent="0.25"/>
    <row r="33" customFormat="1" ht="15.75" customHeight="1" x14ac:dyDescent="0.25"/>
    <row r="34" customFormat="1" ht="15.75" customHeight="1" x14ac:dyDescent="0.25"/>
    <row r="35" customFormat="1" ht="15.75" customHeight="1" x14ac:dyDescent="0.25"/>
    <row r="36" customFormat="1" ht="15.75" customHeight="1" x14ac:dyDescent="0.25"/>
    <row r="37" customFormat="1" ht="15.75" customHeight="1" x14ac:dyDescent="0.25"/>
    <row r="38" customFormat="1" ht="15.75" customHeight="1" x14ac:dyDescent="0.25"/>
    <row r="39" customFormat="1" ht="15.75" customHeight="1" x14ac:dyDescent="0.25"/>
    <row r="40" customFormat="1" ht="15.75" customHeight="1" x14ac:dyDescent="0.25"/>
    <row r="41" customFormat="1" ht="15.75" customHeight="1" x14ac:dyDescent="0.25"/>
    <row r="42" customFormat="1" ht="15.75" customHeight="1" x14ac:dyDescent="0.25"/>
    <row r="43" customFormat="1" ht="15.75" customHeight="1" x14ac:dyDescent="0.25"/>
    <row r="44" customFormat="1" ht="15.75" customHeight="1" x14ac:dyDescent="0.25"/>
    <row r="45" customFormat="1" ht="15.75" customHeight="1" x14ac:dyDescent="0.25"/>
    <row r="46" customFormat="1" ht="15.75" customHeight="1" x14ac:dyDescent="0.25"/>
    <row r="47" customFormat="1" ht="15.75" customHeight="1" x14ac:dyDescent="0.25"/>
    <row r="48" customFormat="1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pageMargins left="0.7" right="0.7" top="0.75" bottom="0.75" header="0" footer="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46AE1-E611-4B3C-AC0B-E51C02F77108}">
  <dimension ref="A1:H1000"/>
  <sheetViews>
    <sheetView workbookViewId="0">
      <selection activeCell="C15" sqref="C15"/>
    </sheetView>
  </sheetViews>
  <sheetFormatPr baseColWidth="10" defaultColWidth="14.42578125" defaultRowHeight="15" x14ac:dyDescent="0.25"/>
  <cols>
    <col min="1" max="2" width="10.7109375" customWidth="1"/>
    <col min="3" max="3" width="16.28515625" customWidth="1"/>
    <col min="4" max="4" width="19.5703125" customWidth="1"/>
    <col min="5" max="5" width="20.140625" customWidth="1"/>
    <col min="6" max="6" width="22.85546875" customWidth="1"/>
    <col min="7" max="7" width="22.5703125" customWidth="1"/>
    <col min="8" max="8" width="18.7109375" customWidth="1"/>
  </cols>
  <sheetData>
    <row r="1" spans="1:8" ht="62.25" customHeight="1" x14ac:dyDescent="0.25"/>
    <row r="2" spans="1:8" x14ac:dyDescent="0.25">
      <c r="A2" s="2" t="s">
        <v>155</v>
      </c>
      <c r="B2" s="2" t="s">
        <v>0</v>
      </c>
    </row>
    <row r="3" spans="1:8" x14ac:dyDescent="0.25">
      <c r="A3" s="2" t="s">
        <v>156</v>
      </c>
      <c r="B3" s="2" t="s">
        <v>316</v>
      </c>
    </row>
    <row r="4" spans="1:8" x14ac:dyDescent="0.25">
      <c r="A4" s="2" t="s">
        <v>158</v>
      </c>
      <c r="B4" s="75" t="s">
        <v>313</v>
      </c>
    </row>
    <row r="5" spans="1:8" x14ac:dyDescent="0.25">
      <c r="A5" s="2"/>
      <c r="B5" s="75"/>
    </row>
    <row r="6" spans="1:8" x14ac:dyDescent="0.25">
      <c r="A6" s="2"/>
      <c r="B6" s="75" t="s">
        <v>160</v>
      </c>
      <c r="D6" s="76" t="s">
        <v>161</v>
      </c>
    </row>
    <row r="7" spans="1:8" x14ac:dyDescent="0.25">
      <c r="A7" s="2"/>
      <c r="B7" s="75" t="s">
        <v>162</v>
      </c>
      <c r="D7" s="77">
        <f>6919587.97*1.16</f>
        <v>8026722.0451999996</v>
      </c>
    </row>
    <row r="8" spans="1:8" ht="15.75" thickBot="1" x14ac:dyDescent="0.3">
      <c r="A8" s="2"/>
      <c r="B8" s="75" t="s">
        <v>15</v>
      </c>
      <c r="D8" s="77">
        <v>0</v>
      </c>
    </row>
    <row r="9" spans="1:8" x14ac:dyDescent="0.25">
      <c r="A9" s="2"/>
      <c r="B9" s="78" t="s">
        <v>163</v>
      </c>
      <c r="C9" s="79"/>
      <c r="D9" s="80">
        <f>+D7-D8</f>
        <v>8026722.0451999996</v>
      </c>
    </row>
    <row r="10" spans="1:8" ht="15.75" thickBot="1" x14ac:dyDescent="0.3">
      <c r="A10" s="2"/>
      <c r="B10" s="75" t="s">
        <v>317</v>
      </c>
      <c r="D10" s="65"/>
    </row>
    <row r="11" spans="1:8" x14ac:dyDescent="0.25">
      <c r="A11" s="2"/>
      <c r="B11" s="78" t="s">
        <v>164</v>
      </c>
      <c r="C11" s="79"/>
      <c r="D11" s="80">
        <f>+D9-D10</f>
        <v>8026722.0451999996</v>
      </c>
    </row>
    <row r="13" spans="1:8" ht="27.75" customHeight="1" thickBot="1" x14ac:dyDescent="0.3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14" spans="1:8" ht="15.75" thickBot="1" x14ac:dyDescent="0.3">
      <c r="A14" s="83">
        <v>1</v>
      </c>
      <c r="B14" s="84">
        <v>45936</v>
      </c>
      <c r="C14" s="83">
        <v>4323</v>
      </c>
      <c r="D14" s="83" t="s">
        <v>318</v>
      </c>
      <c r="E14" s="88">
        <v>5618705.4299999997</v>
      </c>
      <c r="F14" s="88">
        <v>0</v>
      </c>
      <c r="G14" s="88">
        <v>5618705.4299999997</v>
      </c>
    </row>
    <row r="15" spans="1:8" x14ac:dyDescent="0.25">
      <c r="E15" s="65">
        <f t="shared" ref="E15:G15" si="0">SUM(E14)</f>
        <v>5618705.4299999997</v>
      </c>
      <c r="F15" s="65">
        <f t="shared" si="0"/>
        <v>0</v>
      </c>
      <c r="G15" s="65">
        <f t="shared" si="0"/>
        <v>5618705.4299999997</v>
      </c>
    </row>
    <row r="21" customFormat="1" ht="15.75" customHeight="1" x14ac:dyDescent="0.25"/>
    <row r="22" customFormat="1" ht="15.75" customHeight="1" x14ac:dyDescent="0.25"/>
    <row r="23" customFormat="1" ht="15.75" customHeight="1" x14ac:dyDescent="0.25"/>
    <row r="24" customFormat="1" ht="15.75" customHeight="1" x14ac:dyDescent="0.25"/>
    <row r="25" customFormat="1" ht="15.75" customHeight="1" x14ac:dyDescent="0.25"/>
    <row r="26" customFormat="1" ht="15.75" customHeight="1" x14ac:dyDescent="0.25"/>
    <row r="27" customFormat="1" ht="15.75" customHeight="1" x14ac:dyDescent="0.25"/>
    <row r="28" customFormat="1" ht="15.75" customHeight="1" x14ac:dyDescent="0.25"/>
    <row r="29" customFormat="1" ht="15.75" customHeight="1" x14ac:dyDescent="0.25"/>
    <row r="30" customFormat="1" ht="15.75" customHeight="1" x14ac:dyDescent="0.25"/>
    <row r="31" customFormat="1" ht="15.75" customHeight="1" x14ac:dyDescent="0.25"/>
    <row r="32" customFormat="1" ht="15.75" customHeight="1" x14ac:dyDescent="0.25"/>
    <row r="33" customFormat="1" ht="15.75" customHeight="1" x14ac:dyDescent="0.25"/>
    <row r="34" customFormat="1" ht="15.75" customHeight="1" x14ac:dyDescent="0.25"/>
    <row r="35" customFormat="1" ht="15.75" customHeight="1" x14ac:dyDescent="0.25"/>
    <row r="36" customFormat="1" ht="15.75" customHeight="1" x14ac:dyDescent="0.25"/>
    <row r="37" customFormat="1" ht="15.75" customHeight="1" x14ac:dyDescent="0.25"/>
    <row r="38" customFormat="1" ht="15.75" customHeight="1" x14ac:dyDescent="0.25"/>
    <row r="39" customFormat="1" ht="15.75" customHeight="1" x14ac:dyDescent="0.25"/>
    <row r="40" customFormat="1" ht="15.75" customHeight="1" x14ac:dyDescent="0.25"/>
    <row r="41" customFormat="1" ht="15.75" customHeight="1" x14ac:dyDescent="0.25"/>
    <row r="42" customFormat="1" ht="15.75" customHeight="1" x14ac:dyDescent="0.25"/>
    <row r="43" customFormat="1" ht="15.75" customHeight="1" x14ac:dyDescent="0.25"/>
    <row r="44" customFormat="1" ht="15.75" customHeight="1" x14ac:dyDescent="0.25"/>
    <row r="45" customFormat="1" ht="15.75" customHeight="1" x14ac:dyDescent="0.25"/>
    <row r="46" customFormat="1" ht="15.75" customHeight="1" x14ac:dyDescent="0.25"/>
    <row r="47" customFormat="1" ht="15.75" customHeight="1" x14ac:dyDescent="0.25"/>
    <row r="48" customFormat="1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Z1000"/>
  <sheetViews>
    <sheetView workbookViewId="0">
      <selection activeCell="E7" sqref="E7"/>
    </sheetView>
  </sheetViews>
  <sheetFormatPr baseColWidth="10" defaultColWidth="14.42578125" defaultRowHeight="15" customHeight="1" x14ac:dyDescent="0.25"/>
  <cols>
    <col min="1" max="2" width="10.7109375" customWidth="1"/>
    <col min="3" max="3" width="16.28515625" customWidth="1"/>
    <col min="4" max="4" width="19.5703125" customWidth="1"/>
    <col min="5" max="5" width="20.140625" customWidth="1"/>
    <col min="6" max="6" width="22.85546875" customWidth="1"/>
    <col min="7" max="7" width="22.5703125" customWidth="1"/>
    <col min="8" max="8" width="18.7109375" customWidth="1"/>
    <col min="9" max="26" width="10.7109375" customWidth="1"/>
  </cols>
  <sheetData>
    <row r="1" spans="1:26" ht="61.5" customHeight="1" x14ac:dyDescent="0.25"/>
    <row r="2" spans="1:26" x14ac:dyDescent="0.25">
      <c r="A2" s="2" t="s">
        <v>155</v>
      </c>
      <c r="B2" s="2" t="s">
        <v>0</v>
      </c>
    </row>
    <row r="3" spans="1:26" x14ac:dyDescent="0.25">
      <c r="A3" s="2" t="s">
        <v>156</v>
      </c>
      <c r="B3" s="2" t="s">
        <v>208</v>
      </c>
    </row>
    <row r="4" spans="1:26" x14ac:dyDescent="0.25">
      <c r="A4" s="2" t="s">
        <v>158</v>
      </c>
      <c r="B4" s="75" t="s">
        <v>209</v>
      </c>
    </row>
    <row r="5" spans="1:26" x14ac:dyDescent="0.25">
      <c r="A5" s="2"/>
      <c r="B5" s="75"/>
    </row>
    <row r="6" spans="1:26" x14ac:dyDescent="0.25">
      <c r="A6" s="2"/>
      <c r="B6" s="75" t="s">
        <v>160</v>
      </c>
      <c r="D6" s="76" t="s">
        <v>161</v>
      </c>
    </row>
    <row r="7" spans="1:26" x14ac:dyDescent="0.25">
      <c r="A7" s="2"/>
      <c r="B7" s="75" t="s">
        <v>162</v>
      </c>
      <c r="D7" s="6">
        <v>28840306.0132</v>
      </c>
    </row>
    <row r="8" spans="1:26" x14ac:dyDescent="0.25">
      <c r="A8" s="2"/>
      <c r="B8" s="75" t="s">
        <v>15</v>
      </c>
      <c r="D8" s="88">
        <v>25293838.959960002</v>
      </c>
    </row>
    <row r="9" spans="1:26" x14ac:dyDescent="0.25">
      <c r="A9" s="2"/>
      <c r="B9" s="78" t="s">
        <v>163</v>
      </c>
      <c r="C9" s="79"/>
      <c r="D9" s="65">
        <f>+D7-D8</f>
        <v>3546467.0532399975</v>
      </c>
    </row>
    <row r="10" spans="1:26" x14ac:dyDescent="0.25">
      <c r="A10" s="2"/>
      <c r="B10" s="75" t="s">
        <v>199</v>
      </c>
      <c r="D10" s="65">
        <f>+D7*10%</f>
        <v>2884030.6013200004</v>
      </c>
    </row>
    <row r="11" spans="1:26" x14ac:dyDescent="0.25">
      <c r="A11" s="2"/>
      <c r="B11" s="78" t="s">
        <v>164</v>
      </c>
      <c r="C11" s="79"/>
      <c r="D11" s="80">
        <f>+D9-D10</f>
        <v>662436.45191999711</v>
      </c>
    </row>
    <row r="13" spans="1:26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14" spans="1:26" x14ac:dyDescent="0.25">
      <c r="A14" s="83">
        <v>1</v>
      </c>
      <c r="B14" s="84">
        <v>45832</v>
      </c>
      <c r="C14" s="83">
        <v>4208</v>
      </c>
      <c r="D14" s="86" t="s">
        <v>210</v>
      </c>
      <c r="E14" s="85">
        <v>1000000.01</v>
      </c>
      <c r="F14" s="85">
        <f>100000*5</f>
        <v>500000</v>
      </c>
      <c r="G14" s="85">
        <f>+E14-F14</f>
        <v>500000.01</v>
      </c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spans="1:26" x14ac:dyDescent="0.25">
      <c r="E15" s="65">
        <f t="shared" ref="E15:G15" si="0">SUM(E14)</f>
        <v>1000000.01</v>
      </c>
      <c r="F15" s="65">
        <f t="shared" si="0"/>
        <v>500000</v>
      </c>
      <c r="G15" s="65">
        <f t="shared" si="0"/>
        <v>500000.01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Z1000"/>
  <sheetViews>
    <sheetView workbookViewId="0">
      <selection activeCell="E19" sqref="E19"/>
    </sheetView>
  </sheetViews>
  <sheetFormatPr baseColWidth="10" defaultColWidth="14.42578125" defaultRowHeight="15" customHeight="1" x14ac:dyDescent="0.25"/>
  <cols>
    <col min="1" max="1" width="10.7109375" customWidth="1"/>
    <col min="2" max="2" width="15.140625" customWidth="1"/>
    <col min="3" max="3" width="13.7109375" customWidth="1"/>
    <col min="4" max="4" width="21.28515625" customWidth="1"/>
    <col min="5" max="5" width="18" customWidth="1"/>
    <col min="6" max="6" width="19.140625" customWidth="1"/>
    <col min="7" max="7" width="22.42578125" customWidth="1"/>
    <col min="8" max="8" width="20.5703125" customWidth="1"/>
    <col min="9" max="26" width="10.7109375" customWidth="1"/>
  </cols>
  <sheetData>
    <row r="1" spans="1:26" ht="62.25" customHeight="1" x14ac:dyDescent="0.25"/>
    <row r="2" spans="1:26" x14ac:dyDescent="0.25">
      <c r="A2" s="2" t="s">
        <v>155</v>
      </c>
      <c r="B2" s="2" t="s">
        <v>0</v>
      </c>
    </row>
    <row r="3" spans="1:26" x14ac:dyDescent="0.25">
      <c r="A3" s="2" t="s">
        <v>156</v>
      </c>
      <c r="B3" s="2" t="s">
        <v>211</v>
      </c>
    </row>
    <row r="4" spans="1:26" x14ac:dyDescent="0.25">
      <c r="A4" s="2" t="s">
        <v>158</v>
      </c>
      <c r="B4" s="124" t="s">
        <v>303</v>
      </c>
    </row>
    <row r="5" spans="1:26" x14ac:dyDescent="0.25">
      <c r="A5" s="2"/>
      <c r="B5" s="75"/>
    </row>
    <row r="6" spans="1:26" x14ac:dyDescent="0.25">
      <c r="A6" s="2"/>
      <c r="B6" s="75" t="s">
        <v>160</v>
      </c>
      <c r="D6" s="76" t="s">
        <v>161</v>
      </c>
    </row>
    <row r="7" spans="1:26" x14ac:dyDescent="0.25">
      <c r="A7" s="2"/>
      <c r="B7" s="75" t="s">
        <v>162</v>
      </c>
      <c r="D7" s="87">
        <v>61450000</v>
      </c>
    </row>
    <row r="8" spans="1:26" x14ac:dyDescent="0.25">
      <c r="A8" s="2"/>
      <c r="B8" s="75" t="s">
        <v>15</v>
      </c>
      <c r="D8" s="87">
        <v>51982457.539999999</v>
      </c>
    </row>
    <row r="9" spans="1:26" x14ac:dyDescent="0.25">
      <c r="A9" s="2"/>
      <c r="B9" s="78" t="s">
        <v>163</v>
      </c>
      <c r="C9" s="79"/>
      <c r="D9" s="80">
        <f>+D7-D8</f>
        <v>9467542.4600000009</v>
      </c>
    </row>
    <row r="10" spans="1:26" x14ac:dyDescent="0.25">
      <c r="A10" s="2"/>
      <c r="B10" s="75" t="s">
        <v>10</v>
      </c>
      <c r="D10" s="65">
        <v>0</v>
      </c>
    </row>
    <row r="11" spans="1:26" x14ac:dyDescent="0.25">
      <c r="A11" s="2"/>
      <c r="B11" s="78" t="s">
        <v>164</v>
      </c>
      <c r="C11" s="79"/>
      <c r="D11" s="80">
        <f>+D9-D10</f>
        <v>9467542.4600000009</v>
      </c>
    </row>
    <row r="13" spans="1:26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14" spans="1:26" ht="15.75" customHeight="1" x14ac:dyDescent="0.25">
      <c r="A14" s="83"/>
      <c r="B14" s="84"/>
      <c r="C14" s="83"/>
      <c r="D14" s="86"/>
      <c r="E14" s="90"/>
      <c r="F14" s="90"/>
      <c r="G14" s="90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spans="1:26" x14ac:dyDescent="0.25">
      <c r="E15" s="65">
        <f t="shared" ref="E15:G15" si="0">SUM(E14)</f>
        <v>0</v>
      </c>
      <c r="F15" s="65">
        <f t="shared" si="0"/>
        <v>0</v>
      </c>
      <c r="G15" s="65">
        <f t="shared" si="0"/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1000"/>
  <sheetViews>
    <sheetView workbookViewId="0">
      <selection activeCell="D23" sqref="D23"/>
    </sheetView>
  </sheetViews>
  <sheetFormatPr baseColWidth="10" defaultColWidth="14.42578125" defaultRowHeight="15" customHeight="1" x14ac:dyDescent="0.25"/>
  <cols>
    <col min="1" max="1" width="11.140625" customWidth="1"/>
    <col min="2" max="2" width="12.7109375" customWidth="1"/>
    <col min="3" max="3" width="14.140625" customWidth="1"/>
    <col min="4" max="4" width="24.140625" customWidth="1"/>
    <col min="5" max="5" width="20.28515625" customWidth="1"/>
    <col min="6" max="6" width="19.140625" customWidth="1"/>
    <col min="7" max="7" width="21" customWidth="1"/>
    <col min="8" max="8" width="20.5703125" customWidth="1"/>
    <col min="9" max="9" width="24.140625" customWidth="1"/>
  </cols>
  <sheetData>
    <row r="1" spans="1:9" ht="66.75" customHeight="1" x14ac:dyDescent="0.25"/>
    <row r="2" spans="1:9" x14ac:dyDescent="0.25">
      <c r="A2" s="2" t="s">
        <v>155</v>
      </c>
      <c r="B2" s="2" t="s">
        <v>0</v>
      </c>
    </row>
    <row r="3" spans="1:9" x14ac:dyDescent="0.25">
      <c r="A3" s="2" t="s">
        <v>156</v>
      </c>
      <c r="B3" s="2" t="s">
        <v>212</v>
      </c>
    </row>
    <row r="4" spans="1:9" x14ac:dyDescent="0.25">
      <c r="A4" s="2" t="s">
        <v>158</v>
      </c>
      <c r="B4" s="124" t="s">
        <v>303</v>
      </c>
    </row>
    <row r="5" spans="1:9" x14ac:dyDescent="0.25">
      <c r="A5" s="2"/>
      <c r="B5" s="75"/>
    </row>
    <row r="6" spans="1:9" x14ac:dyDescent="0.25">
      <c r="A6" s="2"/>
      <c r="B6" s="75" t="s">
        <v>162</v>
      </c>
      <c r="D6" s="76" t="s">
        <v>161</v>
      </c>
    </row>
    <row r="7" spans="1:9" x14ac:dyDescent="0.25">
      <c r="A7" s="2"/>
      <c r="B7" s="5" t="s">
        <v>213</v>
      </c>
      <c r="D7" s="6">
        <v>37721136.630000003</v>
      </c>
      <c r="E7" s="6"/>
    </row>
    <row r="8" spans="1:9" x14ac:dyDescent="0.25">
      <c r="A8" s="2"/>
      <c r="B8" s="75" t="s">
        <v>15</v>
      </c>
      <c r="D8" s="90">
        <f>34122304.83+500000</f>
        <v>34622304.829999998</v>
      </c>
    </row>
    <row r="9" spans="1:9" x14ac:dyDescent="0.25">
      <c r="A9" s="2"/>
      <c r="B9" s="78" t="s">
        <v>163</v>
      </c>
      <c r="C9" s="79"/>
      <c r="D9" s="80">
        <f>+D7-D8</f>
        <v>3098831.8000000045</v>
      </c>
    </row>
    <row r="10" spans="1:9" x14ac:dyDescent="0.25">
      <c r="A10" s="2"/>
      <c r="B10" s="75" t="s">
        <v>214</v>
      </c>
      <c r="D10" s="6">
        <f>+D7*14.2%-1000000*2</f>
        <v>3356401.4014600003</v>
      </c>
    </row>
    <row r="11" spans="1:9" x14ac:dyDescent="0.25">
      <c r="A11" s="2"/>
      <c r="B11" s="78" t="s">
        <v>11</v>
      </c>
      <c r="C11" s="79"/>
      <c r="D11" s="80">
        <f>+D9-D10</f>
        <v>-257569.60145999584</v>
      </c>
    </row>
    <row r="12" spans="1:9" x14ac:dyDescent="0.25">
      <c r="A12" s="2"/>
      <c r="B12" s="75"/>
      <c r="D12" s="65"/>
    </row>
    <row r="14" spans="1:9" ht="27.75" customHeight="1" x14ac:dyDescent="0.25">
      <c r="A14" s="81" t="s">
        <v>4</v>
      </c>
      <c r="B14" s="81" t="s">
        <v>165</v>
      </c>
      <c r="C14" s="81" t="s">
        <v>166</v>
      </c>
      <c r="D14" s="81" t="s">
        <v>160</v>
      </c>
      <c r="E14" s="81" t="s">
        <v>9</v>
      </c>
      <c r="F14" s="81" t="s">
        <v>8</v>
      </c>
      <c r="G14" s="82" t="s">
        <v>167</v>
      </c>
      <c r="H14" s="82" t="s">
        <v>168</v>
      </c>
      <c r="I14" s="81" t="s">
        <v>215</v>
      </c>
    </row>
    <row r="15" spans="1:9" x14ac:dyDescent="0.25">
      <c r="A15" s="83">
        <v>1</v>
      </c>
      <c r="B15" s="84">
        <v>45196</v>
      </c>
      <c r="C15" s="83">
        <v>3612</v>
      </c>
      <c r="D15" s="86" t="s">
        <v>216</v>
      </c>
      <c r="E15" s="87">
        <v>232612.83</v>
      </c>
      <c r="F15" s="87">
        <v>266846.17</v>
      </c>
      <c r="G15" s="111">
        <v>-34233.339999999997</v>
      </c>
      <c r="H15" s="83" t="s">
        <v>217</v>
      </c>
      <c r="I15" s="84" t="s">
        <v>218</v>
      </c>
    </row>
    <row r="16" spans="1:9" x14ac:dyDescent="0.25">
      <c r="A16" s="83"/>
      <c r="E16" s="100">
        <f>SUM(E15:E15)</f>
        <v>232612.83</v>
      </c>
      <c r="F16" s="100">
        <f>SUM(F15:F15)</f>
        <v>266846.17</v>
      </c>
      <c r="G16" s="100">
        <f>SUM(G15:G15)</f>
        <v>-34233.339999999997</v>
      </c>
      <c r="H16" s="84"/>
    </row>
    <row r="18" spans="7:7" x14ac:dyDescent="0.25">
      <c r="G18" s="112" t="s">
        <v>219</v>
      </c>
    </row>
    <row r="19" spans="7:7" x14ac:dyDescent="0.25">
      <c r="G19" s="113"/>
    </row>
    <row r="20" spans="7:7" ht="15.75" customHeight="1" x14ac:dyDescent="0.25">
      <c r="G20" s="113" t="s">
        <v>220</v>
      </c>
    </row>
    <row r="21" spans="7:7" ht="15.75" customHeight="1" x14ac:dyDescent="0.25"/>
    <row r="22" spans="7:7" ht="15.75" customHeight="1" x14ac:dyDescent="0.25"/>
    <row r="23" spans="7:7" ht="15.75" customHeight="1" x14ac:dyDescent="0.25"/>
    <row r="24" spans="7:7" ht="15.75" customHeight="1" x14ac:dyDescent="0.25"/>
    <row r="25" spans="7:7" ht="15.75" customHeight="1" x14ac:dyDescent="0.25"/>
    <row r="26" spans="7:7" ht="15.75" customHeight="1" x14ac:dyDescent="0.25"/>
    <row r="27" spans="7:7" ht="15.75" customHeight="1" x14ac:dyDescent="0.25"/>
    <row r="28" spans="7:7" ht="15.75" customHeight="1" x14ac:dyDescent="0.25"/>
    <row r="29" spans="7:7" ht="15.75" customHeight="1" x14ac:dyDescent="0.25"/>
    <row r="30" spans="7:7" ht="15.75" customHeight="1" x14ac:dyDescent="0.25"/>
    <row r="31" spans="7:7" ht="15.75" customHeight="1" x14ac:dyDescent="0.25"/>
    <row r="32" spans="7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39370078740157483" right="0.19685039370078741" top="0.59055118110236227" bottom="0.59055118110236227" header="0" footer="0"/>
  <pageSetup scale="75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1000"/>
  <sheetViews>
    <sheetView workbookViewId="0"/>
  </sheetViews>
  <sheetFormatPr baseColWidth="10" defaultColWidth="14.42578125" defaultRowHeight="15" customHeight="1" x14ac:dyDescent="0.25"/>
  <cols>
    <col min="1" max="1" width="11.140625" customWidth="1"/>
    <col min="2" max="2" width="12.7109375" customWidth="1"/>
    <col min="3" max="3" width="14.140625" customWidth="1"/>
    <col min="4" max="4" width="25.5703125" customWidth="1"/>
    <col min="5" max="5" width="20.28515625" customWidth="1"/>
    <col min="6" max="6" width="19.140625" customWidth="1"/>
    <col min="7" max="7" width="21" customWidth="1"/>
    <col min="8" max="8" width="20.5703125" customWidth="1"/>
    <col min="9" max="9" width="24" customWidth="1"/>
  </cols>
  <sheetData>
    <row r="1" spans="1:9" ht="65.25" customHeight="1" x14ac:dyDescent="0.25"/>
    <row r="2" spans="1:9" x14ac:dyDescent="0.25">
      <c r="A2" s="2" t="s">
        <v>155</v>
      </c>
      <c r="B2" s="2" t="s">
        <v>0</v>
      </c>
    </row>
    <row r="3" spans="1:9" x14ac:dyDescent="0.25">
      <c r="A3" s="2" t="s">
        <v>156</v>
      </c>
      <c r="B3" s="2" t="s">
        <v>221</v>
      </c>
    </row>
    <row r="4" spans="1:9" x14ac:dyDescent="0.25">
      <c r="A4" s="2" t="s">
        <v>158</v>
      </c>
      <c r="B4" s="75" t="s">
        <v>222</v>
      </c>
    </row>
    <row r="5" spans="1:9" x14ac:dyDescent="0.25">
      <c r="A5" s="2"/>
      <c r="B5" s="75"/>
    </row>
    <row r="6" spans="1:9" x14ac:dyDescent="0.25">
      <c r="A6" s="2"/>
      <c r="B6" s="75" t="s">
        <v>162</v>
      </c>
      <c r="D6" s="76" t="s">
        <v>161</v>
      </c>
    </row>
    <row r="7" spans="1:9" x14ac:dyDescent="0.25">
      <c r="A7" s="2"/>
      <c r="B7" s="5" t="s">
        <v>223</v>
      </c>
      <c r="D7" s="6">
        <v>5328863.38</v>
      </c>
      <c r="E7" s="6"/>
    </row>
    <row r="8" spans="1:9" x14ac:dyDescent="0.25">
      <c r="A8" s="2"/>
      <c r="B8" s="75" t="s">
        <v>15</v>
      </c>
      <c r="D8" s="6">
        <v>5080459.42</v>
      </c>
    </row>
    <row r="9" spans="1:9" x14ac:dyDescent="0.25">
      <c r="A9" s="2"/>
      <c r="B9" s="78" t="s">
        <v>163</v>
      </c>
      <c r="C9" s="79"/>
      <c r="D9" s="80">
        <f>+D7-D8</f>
        <v>248403.95999999996</v>
      </c>
    </row>
    <row r="10" spans="1:9" x14ac:dyDescent="0.25">
      <c r="A10" s="2"/>
      <c r="B10" s="75" t="s">
        <v>224</v>
      </c>
      <c r="D10" s="6"/>
    </row>
    <row r="11" spans="1:9" x14ac:dyDescent="0.25">
      <c r="A11" s="2"/>
      <c r="B11" s="78" t="s">
        <v>11</v>
      </c>
      <c r="C11" s="79"/>
      <c r="D11" s="80">
        <f>+D9-D10</f>
        <v>248403.95999999996</v>
      </c>
    </row>
    <row r="12" spans="1:9" x14ac:dyDescent="0.25">
      <c r="A12" s="2"/>
      <c r="B12" s="75"/>
      <c r="D12" s="65"/>
    </row>
    <row r="14" spans="1:9" ht="27.75" customHeight="1" x14ac:dyDescent="0.25">
      <c r="A14" s="81" t="s">
        <v>4</v>
      </c>
      <c r="B14" s="81" t="s">
        <v>165</v>
      </c>
      <c r="C14" s="81" t="s">
        <v>166</v>
      </c>
      <c r="D14" s="81" t="s">
        <v>160</v>
      </c>
      <c r="E14" s="81" t="s">
        <v>9</v>
      </c>
      <c r="F14" s="81" t="s">
        <v>8</v>
      </c>
      <c r="G14" s="82" t="s">
        <v>167</v>
      </c>
      <c r="H14" s="82" t="s">
        <v>168</v>
      </c>
      <c r="I14" s="81" t="s">
        <v>215</v>
      </c>
    </row>
    <row r="15" spans="1:9" x14ac:dyDescent="0.25">
      <c r="A15" s="83"/>
      <c r="B15" s="84"/>
      <c r="C15" s="83"/>
      <c r="D15" s="83"/>
      <c r="E15" s="90"/>
      <c r="F15" s="90"/>
      <c r="G15" s="90"/>
      <c r="I15" s="114"/>
    </row>
    <row r="16" spans="1:9" x14ac:dyDescent="0.25">
      <c r="A16" s="83"/>
      <c r="B16" s="84"/>
      <c r="C16" s="83"/>
      <c r="D16" s="86"/>
      <c r="E16" s="115">
        <f t="shared" ref="E16:G16" si="0">+E15</f>
        <v>0</v>
      </c>
      <c r="F16" s="115">
        <f t="shared" si="0"/>
        <v>0</v>
      </c>
      <c r="G16" s="115">
        <f t="shared" si="0"/>
        <v>0</v>
      </c>
      <c r="H16" s="83"/>
      <c r="I16" s="84"/>
    </row>
    <row r="18" spans="7:7" x14ac:dyDescent="0.25">
      <c r="G18" s="112" t="s">
        <v>219</v>
      </c>
    </row>
    <row r="19" spans="7:7" x14ac:dyDescent="0.25">
      <c r="G19" s="113"/>
    </row>
    <row r="20" spans="7:7" x14ac:dyDescent="0.25">
      <c r="G20" s="113" t="s">
        <v>220</v>
      </c>
    </row>
    <row r="21" spans="7:7" ht="15.75" customHeight="1" x14ac:dyDescent="0.25"/>
    <row r="22" spans="7:7" ht="15.75" customHeight="1" x14ac:dyDescent="0.25"/>
    <row r="23" spans="7:7" ht="15.75" customHeight="1" x14ac:dyDescent="0.25"/>
    <row r="24" spans="7:7" ht="15.75" customHeight="1" x14ac:dyDescent="0.25"/>
    <row r="25" spans="7:7" ht="15.75" customHeight="1" x14ac:dyDescent="0.25"/>
    <row r="26" spans="7:7" ht="15.75" customHeight="1" x14ac:dyDescent="0.25"/>
    <row r="27" spans="7:7" ht="15.75" customHeight="1" x14ac:dyDescent="0.25"/>
    <row r="28" spans="7:7" ht="15.75" customHeight="1" x14ac:dyDescent="0.25"/>
    <row r="29" spans="7:7" ht="15.75" customHeight="1" x14ac:dyDescent="0.25"/>
    <row r="30" spans="7:7" ht="15.75" customHeight="1" x14ac:dyDescent="0.25"/>
    <row r="31" spans="7:7" ht="15.75" customHeight="1" x14ac:dyDescent="0.25"/>
    <row r="32" spans="7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39370078740157483" right="0.19685039370078741" top="0.59055118110236227" bottom="0.74803149606299213" header="0" footer="0"/>
  <pageSetup scale="75"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Z1002"/>
  <sheetViews>
    <sheetView topLeftCell="A2" zoomScale="110" zoomScaleNormal="110" workbookViewId="0">
      <selection activeCell="D22" sqref="D22:D23"/>
    </sheetView>
  </sheetViews>
  <sheetFormatPr baseColWidth="10" defaultColWidth="14.42578125" defaultRowHeight="15" customHeight="1" x14ac:dyDescent="0.25"/>
  <cols>
    <col min="1" max="1" width="10.28515625" customWidth="1"/>
    <col min="2" max="2" width="12.7109375" customWidth="1"/>
    <col min="3" max="3" width="13.42578125" customWidth="1"/>
    <col min="4" max="4" width="25.85546875" customWidth="1"/>
    <col min="5" max="5" width="20" customWidth="1"/>
    <col min="6" max="6" width="19.140625" customWidth="1"/>
    <col min="7" max="7" width="20" customWidth="1"/>
    <col min="8" max="8" width="20.5703125" customWidth="1"/>
    <col min="9" max="9" width="23.140625" customWidth="1"/>
    <col min="10" max="26" width="10.7109375" customWidth="1"/>
  </cols>
  <sheetData>
    <row r="1" spans="1:26" ht="60.75" customHeight="1" x14ac:dyDescent="0.25">
      <c r="A1" s="86"/>
      <c r="B1" s="86"/>
      <c r="C1" s="86"/>
      <c r="D1" s="86"/>
      <c r="E1" s="86"/>
      <c r="F1" s="86"/>
      <c r="G1" s="86"/>
      <c r="H1" s="86"/>
      <c r="I1" s="83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 spans="1:26" ht="12" customHeight="1" x14ac:dyDescent="0.25">
      <c r="A2" s="2" t="s">
        <v>155</v>
      </c>
      <c r="B2" s="2" t="s">
        <v>0</v>
      </c>
      <c r="C2" s="86"/>
      <c r="D2" s="86"/>
      <c r="E2" s="86"/>
      <c r="F2" s="86"/>
      <c r="G2" s="86"/>
      <c r="H2" s="86"/>
      <c r="I2" s="83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spans="1:26" ht="12" customHeight="1" x14ac:dyDescent="0.25">
      <c r="A3" s="2" t="s">
        <v>156</v>
      </c>
      <c r="B3" s="2" t="s">
        <v>225</v>
      </c>
      <c r="C3" s="86"/>
      <c r="D3" s="86"/>
      <c r="E3" s="86"/>
      <c r="F3" s="86"/>
      <c r="G3" s="86"/>
      <c r="H3" s="86"/>
      <c r="I3" s="83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spans="1:26" ht="12" customHeight="1" x14ac:dyDescent="0.25">
      <c r="A4" s="2" t="s">
        <v>158</v>
      </c>
      <c r="B4" s="75" t="s">
        <v>326</v>
      </c>
      <c r="C4" s="86"/>
      <c r="D4" s="86"/>
      <c r="E4" s="86"/>
      <c r="F4" s="86"/>
      <c r="G4" s="86"/>
      <c r="H4" s="86"/>
      <c r="I4" s="83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spans="1:26" ht="12" customHeight="1" x14ac:dyDescent="0.25">
      <c r="A5" s="2"/>
      <c r="B5" s="75"/>
      <c r="C5" s="86"/>
      <c r="D5" s="86"/>
      <c r="E5" s="86"/>
      <c r="F5" s="86"/>
      <c r="G5" s="86"/>
      <c r="H5" s="86"/>
      <c r="I5" s="83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spans="1:26" ht="12" customHeight="1" x14ac:dyDescent="0.25">
      <c r="A6" s="2"/>
      <c r="B6" s="75" t="s">
        <v>162</v>
      </c>
      <c r="C6" s="86"/>
      <c r="D6" s="113" t="s">
        <v>226</v>
      </c>
      <c r="E6" s="86"/>
      <c r="F6" s="86"/>
      <c r="G6" s="86"/>
      <c r="H6" s="86"/>
      <c r="I6" s="83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spans="1:26" ht="12" customHeight="1" x14ac:dyDescent="0.25">
      <c r="A7" s="2"/>
      <c r="B7" s="5" t="s">
        <v>227</v>
      </c>
      <c r="C7" s="86"/>
      <c r="D7" s="87">
        <v>11187433.869999999</v>
      </c>
      <c r="E7" s="86"/>
      <c r="F7" s="86"/>
      <c r="G7" s="86"/>
      <c r="H7" s="86"/>
      <c r="I7" s="83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spans="1:26" ht="12" customHeight="1" x14ac:dyDescent="0.25">
      <c r="A8" s="2"/>
      <c r="B8" s="75" t="s">
        <v>15</v>
      </c>
      <c r="C8" s="86"/>
      <c r="D8" s="90">
        <v>4254490.1094419993</v>
      </c>
      <c r="E8" s="86"/>
      <c r="F8" s="86"/>
      <c r="G8" s="86"/>
      <c r="H8" s="86"/>
      <c r="I8" s="83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spans="1:26" ht="12" customHeight="1" x14ac:dyDescent="0.25">
      <c r="A9" s="2"/>
      <c r="B9" s="78" t="s">
        <v>163</v>
      </c>
      <c r="C9" s="116"/>
      <c r="D9" s="100">
        <f>+D7-D8</f>
        <v>6932943.7605579998</v>
      </c>
      <c r="E9" s="86"/>
      <c r="F9" s="86"/>
      <c r="G9" s="86"/>
      <c r="H9" s="86"/>
      <c r="I9" s="83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 spans="1:26" ht="12" customHeight="1" x14ac:dyDescent="0.25">
      <c r="A10" s="2"/>
      <c r="B10" s="5" t="s">
        <v>224</v>
      </c>
      <c r="C10" s="86"/>
      <c r="D10" s="87">
        <f>1854662</f>
        <v>1854662</v>
      </c>
      <c r="E10" s="86"/>
      <c r="F10" s="86"/>
      <c r="G10" s="86"/>
      <c r="H10" s="86"/>
      <c r="I10" s="83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spans="1:26" ht="12" customHeight="1" x14ac:dyDescent="0.25">
      <c r="A11" s="2"/>
      <c r="B11" s="78" t="s">
        <v>164</v>
      </c>
      <c r="C11" s="116"/>
      <c r="D11" s="100">
        <f>+D9-D10</f>
        <v>5078281.7605579998</v>
      </c>
      <c r="E11" s="86"/>
      <c r="F11" s="86"/>
      <c r="G11" s="86"/>
      <c r="H11" s="86"/>
      <c r="I11" s="83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spans="1:26" ht="12" customHeight="1" x14ac:dyDescent="0.25">
      <c r="A12" s="2"/>
      <c r="B12" s="75"/>
      <c r="C12" s="86"/>
      <c r="D12" s="115"/>
      <c r="E12" s="86"/>
      <c r="F12" s="86"/>
      <c r="G12" s="86"/>
      <c r="H12" s="86"/>
      <c r="I12" s="83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spans="1:26" ht="12" customHeight="1" x14ac:dyDescent="0.25">
      <c r="A13" s="86"/>
      <c r="B13" s="86"/>
      <c r="C13" s="86"/>
      <c r="D13" s="86"/>
      <c r="E13" s="86"/>
      <c r="F13" s="86"/>
      <c r="G13" s="86"/>
      <c r="H13" s="86"/>
      <c r="I13" s="83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spans="1:26" ht="27.75" customHeight="1" x14ac:dyDescent="0.25">
      <c r="A14" s="81" t="s">
        <v>4</v>
      </c>
      <c r="B14" s="81" t="s">
        <v>165</v>
      </c>
      <c r="C14" s="81" t="s">
        <v>166</v>
      </c>
      <c r="D14" s="81" t="s">
        <v>160</v>
      </c>
      <c r="E14" s="81" t="s">
        <v>9</v>
      </c>
      <c r="F14" s="81" t="s">
        <v>8</v>
      </c>
      <c r="G14" s="82" t="s">
        <v>167</v>
      </c>
      <c r="H14" s="82" t="s">
        <v>168</v>
      </c>
      <c r="I14" s="81" t="s">
        <v>215</v>
      </c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spans="1:26" ht="12" customHeight="1" x14ac:dyDescent="0.25">
      <c r="A15" s="83">
        <v>1</v>
      </c>
      <c r="B15" s="84">
        <v>45779</v>
      </c>
      <c r="C15" s="83">
        <v>4143</v>
      </c>
      <c r="D15" s="83" t="s">
        <v>228</v>
      </c>
      <c r="E15" s="87">
        <v>209125.7</v>
      </c>
      <c r="F15" s="87">
        <v>0</v>
      </c>
      <c r="G15" s="87">
        <f t="shared" ref="G15:G23" si="0">+E15-F15</f>
        <v>209125.7</v>
      </c>
      <c r="H15" s="86"/>
      <c r="I15" s="91" t="s">
        <v>229</v>
      </c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spans="1:26" ht="12" customHeight="1" x14ac:dyDescent="0.25">
      <c r="A16" s="83">
        <v>2</v>
      </c>
      <c r="B16" s="84">
        <v>45796</v>
      </c>
      <c r="C16" s="83">
        <v>4159</v>
      </c>
      <c r="D16" s="83" t="s">
        <v>230</v>
      </c>
      <c r="E16" s="87">
        <v>150898.01999999999</v>
      </c>
      <c r="F16" s="87">
        <v>0</v>
      </c>
      <c r="G16" s="87">
        <f t="shared" si="0"/>
        <v>150898.01999999999</v>
      </c>
      <c r="H16" s="86"/>
      <c r="I16" s="91" t="s">
        <v>231</v>
      </c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spans="1:26" ht="12" customHeight="1" x14ac:dyDescent="0.25">
      <c r="A17" s="83">
        <v>3</v>
      </c>
      <c r="B17" s="84">
        <v>45786</v>
      </c>
      <c r="C17" s="83">
        <v>4183</v>
      </c>
      <c r="D17" s="83" t="s">
        <v>232</v>
      </c>
      <c r="E17" s="87">
        <v>133392.60999999999</v>
      </c>
      <c r="F17" s="87">
        <v>0</v>
      </c>
      <c r="G17" s="87">
        <f t="shared" si="0"/>
        <v>133392.60999999999</v>
      </c>
      <c r="H17" s="86"/>
      <c r="I17" s="91" t="s">
        <v>233</v>
      </c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spans="1:26" ht="12" customHeight="1" x14ac:dyDescent="0.25">
      <c r="A18" s="83">
        <v>4</v>
      </c>
      <c r="B18" s="84">
        <v>45891</v>
      </c>
      <c r="C18" s="83">
        <v>4282</v>
      </c>
      <c r="D18" s="83" t="s">
        <v>234</v>
      </c>
      <c r="E18" s="87">
        <v>692949.07</v>
      </c>
      <c r="F18" s="87">
        <v>0</v>
      </c>
      <c r="G18" s="87">
        <f t="shared" si="0"/>
        <v>692949.07</v>
      </c>
      <c r="H18" s="86"/>
      <c r="I18" s="91" t="s">
        <v>235</v>
      </c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spans="1:26" ht="12" customHeight="1" x14ac:dyDescent="0.25">
      <c r="A19" s="83">
        <v>5</v>
      </c>
      <c r="B19" s="84">
        <v>45898</v>
      </c>
      <c r="C19" s="83">
        <v>4292</v>
      </c>
      <c r="D19" s="83" t="s">
        <v>236</v>
      </c>
      <c r="E19" s="87">
        <v>256394.10342000003</v>
      </c>
      <c r="F19" s="87">
        <v>0</v>
      </c>
      <c r="G19" s="87">
        <f t="shared" si="0"/>
        <v>256394.10342000003</v>
      </c>
      <c r="H19" s="86"/>
      <c r="I19" s="91" t="s">
        <v>237</v>
      </c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 ht="12" customHeight="1" x14ac:dyDescent="0.25">
      <c r="A20" s="83">
        <v>6</v>
      </c>
      <c r="B20" s="84"/>
      <c r="C20" s="83" t="s">
        <v>238</v>
      </c>
      <c r="D20" s="83" t="s">
        <v>239</v>
      </c>
      <c r="E20" s="87">
        <v>192295.58</v>
      </c>
      <c r="F20" s="87">
        <v>0</v>
      </c>
      <c r="G20" s="87">
        <f t="shared" si="0"/>
        <v>192295.58</v>
      </c>
      <c r="H20" s="86"/>
      <c r="I20" s="91" t="s">
        <v>240</v>
      </c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spans="1:26" ht="12" customHeight="1" x14ac:dyDescent="0.25">
      <c r="A21" s="83">
        <v>7</v>
      </c>
      <c r="B21" s="84"/>
      <c r="C21" s="83" t="s">
        <v>238</v>
      </c>
      <c r="D21" s="83" t="s">
        <v>321</v>
      </c>
      <c r="E21" s="87">
        <v>334827.59282700007</v>
      </c>
      <c r="F21" s="87">
        <v>0</v>
      </c>
      <c r="G21" s="87">
        <f t="shared" si="0"/>
        <v>334827.59282700007</v>
      </c>
      <c r="H21" s="86"/>
      <c r="I21" s="91" t="s">
        <v>322</v>
      </c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spans="1:26" ht="12" customHeight="1" x14ac:dyDescent="0.25">
      <c r="A22" s="83">
        <v>8</v>
      </c>
      <c r="B22" s="84"/>
      <c r="C22" s="83" t="s">
        <v>238</v>
      </c>
      <c r="D22" s="83" t="s">
        <v>241</v>
      </c>
      <c r="E22" s="87">
        <f>10728.61*0.6</f>
        <v>6437.1660000000002</v>
      </c>
      <c r="F22" s="87">
        <v>0</v>
      </c>
      <c r="G22" s="87">
        <f t="shared" si="0"/>
        <v>6437.1660000000002</v>
      </c>
      <c r="H22" s="86"/>
      <c r="I22" s="91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spans="1:26" ht="12" customHeight="1" x14ac:dyDescent="0.25">
      <c r="A23" s="83">
        <v>9</v>
      </c>
      <c r="B23" s="84"/>
      <c r="C23" s="83" t="s">
        <v>238</v>
      </c>
      <c r="D23" s="83" t="s">
        <v>242</v>
      </c>
      <c r="E23" s="87">
        <f>2272408.86*0.6</f>
        <v>1363445.3159999999</v>
      </c>
      <c r="F23" s="87">
        <v>0</v>
      </c>
      <c r="G23" s="87">
        <f t="shared" si="0"/>
        <v>1363445.3159999999</v>
      </c>
      <c r="H23" s="86"/>
      <c r="I23" s="91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spans="1:26" ht="15" customHeight="1" x14ac:dyDescent="0.25">
      <c r="A24" s="101"/>
      <c r="B24" s="101"/>
      <c r="C24" s="101"/>
      <c r="D24" s="101"/>
      <c r="E24" s="103">
        <f>SUM(E15:E23)</f>
        <v>3339765.1582470001</v>
      </c>
      <c r="F24" s="103">
        <f>SUM(F15:F23)</f>
        <v>0</v>
      </c>
      <c r="G24" s="103">
        <f>SUM(G15:G23)</f>
        <v>3339765.1582470001</v>
      </c>
      <c r="H24" s="104"/>
      <c r="I24" s="91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spans="1:26" ht="15" customHeight="1" x14ac:dyDescent="0.25">
      <c r="A25" s="101"/>
      <c r="B25" s="101"/>
      <c r="C25" s="101"/>
      <c r="D25" s="101"/>
      <c r="E25" s="104"/>
      <c r="F25" s="104"/>
      <c r="G25" s="104"/>
      <c r="H25" s="104"/>
      <c r="I25" s="91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spans="1:26" ht="15" customHeight="1" x14ac:dyDescent="0.25">
      <c r="A26" s="86"/>
      <c r="B26" s="86"/>
      <c r="C26" s="86"/>
      <c r="D26" s="86"/>
      <c r="E26" s="87"/>
      <c r="F26" s="86"/>
      <c r="G26" s="86" t="s">
        <v>219</v>
      </c>
      <c r="H26" s="86"/>
      <c r="I26" s="83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spans="1:26" ht="15" customHeight="1" x14ac:dyDescent="0.25">
      <c r="A27" s="86"/>
      <c r="B27" s="86"/>
      <c r="C27" s="86"/>
      <c r="D27" s="86"/>
      <c r="E27" s="86"/>
      <c r="F27" s="86"/>
      <c r="G27" s="86"/>
      <c r="H27" s="86"/>
      <c r="I27" s="83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spans="1:26" ht="15" customHeight="1" x14ac:dyDescent="0.25">
      <c r="A28" s="86"/>
      <c r="B28" s="86"/>
      <c r="C28" s="86"/>
      <c r="D28" s="86"/>
      <c r="E28" s="86"/>
      <c r="F28" s="86"/>
      <c r="G28" s="86" t="s">
        <v>243</v>
      </c>
      <c r="H28" s="86"/>
      <c r="I28" s="83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spans="1:26" ht="12" customHeight="1" x14ac:dyDescent="0.25">
      <c r="A29" s="86"/>
      <c r="B29" s="86"/>
      <c r="C29" s="86"/>
      <c r="D29" s="86"/>
      <c r="E29" s="86"/>
      <c r="F29" s="86"/>
      <c r="G29" s="86"/>
      <c r="H29" s="86"/>
      <c r="I29" s="83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spans="1:26" ht="12" customHeight="1" x14ac:dyDescent="0.25">
      <c r="A30" s="86"/>
      <c r="B30" s="86"/>
      <c r="C30" s="86"/>
      <c r="D30" s="86"/>
      <c r="E30" s="86"/>
      <c r="F30" s="86"/>
      <c r="G30" s="86"/>
      <c r="H30" s="86"/>
      <c r="I30" s="83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spans="1:26" ht="12" customHeight="1" x14ac:dyDescent="0.25">
      <c r="A31" s="86"/>
      <c r="B31" s="86"/>
      <c r="C31" s="86"/>
      <c r="D31" s="86"/>
      <c r="E31" s="86"/>
      <c r="F31" s="86"/>
      <c r="G31" s="86"/>
      <c r="H31" s="86"/>
      <c r="I31" s="83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spans="1:26" ht="12" customHeight="1" x14ac:dyDescent="0.25">
      <c r="A32" s="86"/>
      <c r="B32" s="86"/>
      <c r="C32" s="86"/>
      <c r="D32" s="86"/>
      <c r="E32" s="86"/>
      <c r="F32" s="86"/>
      <c r="G32" s="86"/>
      <c r="H32" s="86"/>
      <c r="I32" s="83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spans="1:26" ht="12" customHeight="1" x14ac:dyDescent="0.25">
      <c r="A33" s="86"/>
      <c r="B33" s="86"/>
      <c r="C33" s="86"/>
      <c r="D33" s="86"/>
      <c r="E33" s="86"/>
      <c r="F33" s="86"/>
      <c r="G33" s="86"/>
      <c r="H33" s="86"/>
      <c r="I33" s="83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spans="1:26" ht="12" customHeight="1" x14ac:dyDescent="0.25">
      <c r="A34" s="86"/>
      <c r="B34" s="86"/>
      <c r="C34" s="86"/>
      <c r="D34" s="86"/>
      <c r="E34" s="86"/>
      <c r="F34" s="86"/>
      <c r="G34" s="86"/>
      <c r="H34" s="86"/>
      <c r="I34" s="83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spans="1:26" ht="12" customHeight="1" x14ac:dyDescent="0.25">
      <c r="A35" s="86"/>
      <c r="B35" s="86"/>
      <c r="C35" s="86"/>
      <c r="D35" s="86"/>
      <c r="E35" s="86"/>
      <c r="F35" s="86"/>
      <c r="G35" s="86"/>
      <c r="H35" s="86"/>
      <c r="I35" s="83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spans="1:26" ht="12" customHeight="1" x14ac:dyDescent="0.25">
      <c r="A36" s="86"/>
      <c r="B36" s="86"/>
      <c r="C36" s="86"/>
      <c r="D36" s="86"/>
      <c r="E36" s="86"/>
      <c r="F36" s="86"/>
      <c r="G36" s="86"/>
      <c r="H36" s="86"/>
      <c r="I36" s="83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spans="1:26" ht="12" customHeight="1" x14ac:dyDescent="0.25">
      <c r="A37" s="86"/>
      <c r="B37" s="86"/>
      <c r="C37" s="86"/>
      <c r="D37" s="86"/>
      <c r="E37" s="86"/>
      <c r="F37" s="86"/>
      <c r="G37" s="86"/>
      <c r="H37" s="86"/>
      <c r="I37" s="83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spans="1:26" ht="12" customHeight="1" x14ac:dyDescent="0.25">
      <c r="A38" s="86"/>
      <c r="B38" s="86"/>
      <c r="C38" s="86"/>
      <c r="D38" s="86"/>
      <c r="E38" s="86"/>
      <c r="F38" s="86"/>
      <c r="G38" s="86"/>
      <c r="H38" s="86"/>
      <c r="I38" s="83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spans="1:26" ht="12" customHeight="1" x14ac:dyDescent="0.25">
      <c r="A39" s="86"/>
      <c r="B39" s="86"/>
      <c r="C39" s="86"/>
      <c r="D39" s="86"/>
      <c r="E39" s="86"/>
      <c r="F39" s="86"/>
      <c r="G39" s="86"/>
      <c r="H39" s="86"/>
      <c r="I39" s="83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spans="1:26" ht="12" customHeight="1" x14ac:dyDescent="0.25">
      <c r="A40" s="86"/>
      <c r="B40" s="86"/>
      <c r="C40" s="86"/>
      <c r="D40" s="86"/>
      <c r="E40" s="86"/>
      <c r="F40" s="86"/>
      <c r="G40" s="86"/>
      <c r="H40" s="86"/>
      <c r="I40" s="83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spans="1:26" ht="12" customHeight="1" x14ac:dyDescent="0.25">
      <c r="A41" s="86"/>
      <c r="B41" s="86"/>
      <c r="C41" s="86"/>
      <c r="D41" s="86"/>
      <c r="E41" s="86"/>
      <c r="F41" s="86"/>
      <c r="G41" s="86"/>
      <c r="H41" s="86"/>
      <c r="I41" s="83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spans="1:26" ht="12" customHeight="1" x14ac:dyDescent="0.25">
      <c r="A42" s="86"/>
      <c r="B42" s="86"/>
      <c r="C42" s="86"/>
      <c r="D42" s="86"/>
      <c r="E42" s="86"/>
      <c r="F42" s="86"/>
      <c r="G42" s="86"/>
      <c r="H42" s="86"/>
      <c r="I42" s="83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spans="1:26" ht="12" customHeight="1" x14ac:dyDescent="0.25">
      <c r="A43" s="86"/>
      <c r="B43" s="86"/>
      <c r="C43" s="86"/>
      <c r="D43" s="86"/>
      <c r="E43" s="86"/>
      <c r="F43" s="86"/>
      <c r="G43" s="86"/>
      <c r="H43" s="86"/>
      <c r="I43" s="83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spans="1:26" ht="12" customHeight="1" x14ac:dyDescent="0.25">
      <c r="A44" s="86"/>
      <c r="B44" s="86"/>
      <c r="C44" s="86"/>
      <c r="D44" s="86"/>
      <c r="E44" s="86"/>
      <c r="F44" s="86"/>
      <c r="G44" s="86"/>
      <c r="H44" s="86"/>
      <c r="I44" s="83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spans="1:26" ht="12" customHeight="1" x14ac:dyDescent="0.25">
      <c r="A45" s="86"/>
      <c r="B45" s="86"/>
      <c r="C45" s="86"/>
      <c r="D45" s="86"/>
      <c r="E45" s="86"/>
      <c r="F45" s="86"/>
      <c r="G45" s="86"/>
      <c r="H45" s="86"/>
      <c r="I45" s="83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spans="1:26" ht="12" customHeight="1" x14ac:dyDescent="0.25">
      <c r="A46" s="86"/>
      <c r="B46" s="86"/>
      <c r="C46" s="86"/>
      <c r="D46" s="86"/>
      <c r="E46" s="86"/>
      <c r="F46" s="86"/>
      <c r="G46" s="86"/>
      <c r="H46" s="86"/>
      <c r="I46" s="83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spans="1:26" ht="12" customHeight="1" x14ac:dyDescent="0.25">
      <c r="A47" s="86"/>
      <c r="B47" s="86"/>
      <c r="C47" s="86"/>
      <c r="D47" s="86"/>
      <c r="E47" s="86"/>
      <c r="F47" s="86"/>
      <c r="G47" s="86"/>
      <c r="H47" s="86"/>
      <c r="I47" s="83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spans="1:26" ht="12" customHeight="1" x14ac:dyDescent="0.25">
      <c r="A48" s="86"/>
      <c r="B48" s="86"/>
      <c r="C48" s="86"/>
      <c r="D48" s="86"/>
      <c r="E48" s="86"/>
      <c r="F48" s="86"/>
      <c r="G48" s="86"/>
      <c r="H48" s="86"/>
      <c r="I48" s="83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spans="1:26" ht="12" customHeight="1" x14ac:dyDescent="0.25">
      <c r="A49" s="86"/>
      <c r="B49" s="86"/>
      <c r="C49" s="86"/>
      <c r="D49" s="86"/>
      <c r="E49" s="86"/>
      <c r="F49" s="86"/>
      <c r="G49" s="86"/>
      <c r="H49" s="86"/>
      <c r="I49" s="83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spans="1:26" ht="12" customHeight="1" x14ac:dyDescent="0.25">
      <c r="A50" s="86"/>
      <c r="B50" s="86"/>
      <c r="C50" s="86"/>
      <c r="D50" s="86"/>
      <c r="E50" s="86"/>
      <c r="F50" s="86"/>
      <c r="G50" s="86"/>
      <c r="H50" s="86"/>
      <c r="I50" s="83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spans="1:26" ht="12" customHeight="1" x14ac:dyDescent="0.25">
      <c r="A51" s="86"/>
      <c r="B51" s="86"/>
      <c r="C51" s="86"/>
      <c r="D51" s="86"/>
      <c r="E51" s="86"/>
      <c r="F51" s="86"/>
      <c r="G51" s="86"/>
      <c r="H51" s="86"/>
      <c r="I51" s="83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spans="1:26" ht="12" customHeight="1" x14ac:dyDescent="0.25">
      <c r="A52" s="86"/>
      <c r="B52" s="86"/>
      <c r="C52" s="86"/>
      <c r="D52" s="86"/>
      <c r="E52" s="86"/>
      <c r="F52" s="86"/>
      <c r="G52" s="86"/>
      <c r="H52" s="86"/>
      <c r="I52" s="83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 spans="1:26" ht="12" customHeight="1" x14ac:dyDescent="0.25">
      <c r="A53" s="86"/>
      <c r="B53" s="86"/>
      <c r="C53" s="86"/>
      <c r="D53" s="86"/>
      <c r="E53" s="86"/>
      <c r="F53" s="86"/>
      <c r="G53" s="86"/>
      <c r="H53" s="86"/>
      <c r="I53" s="83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 spans="1:26" ht="12" customHeight="1" x14ac:dyDescent="0.25">
      <c r="A54" s="86"/>
      <c r="B54" s="86"/>
      <c r="C54" s="86"/>
      <c r="D54" s="86"/>
      <c r="E54" s="86"/>
      <c r="F54" s="86"/>
      <c r="G54" s="86"/>
      <c r="H54" s="86"/>
      <c r="I54" s="83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 spans="1:26" ht="12" customHeight="1" x14ac:dyDescent="0.25">
      <c r="A55" s="86"/>
      <c r="B55" s="86"/>
      <c r="C55" s="86"/>
      <c r="D55" s="86"/>
      <c r="E55" s="86"/>
      <c r="F55" s="86"/>
      <c r="G55" s="86"/>
      <c r="H55" s="86"/>
      <c r="I55" s="83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 spans="1:26" ht="12" customHeight="1" x14ac:dyDescent="0.25">
      <c r="A56" s="86"/>
      <c r="B56" s="86"/>
      <c r="C56" s="86"/>
      <c r="D56" s="86"/>
      <c r="E56" s="86"/>
      <c r="F56" s="86"/>
      <c r="G56" s="86"/>
      <c r="H56" s="86"/>
      <c r="I56" s="83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 spans="1:26" ht="12" customHeight="1" x14ac:dyDescent="0.25">
      <c r="A57" s="86"/>
      <c r="B57" s="86"/>
      <c r="C57" s="86"/>
      <c r="D57" s="86"/>
      <c r="E57" s="86"/>
      <c r="F57" s="86"/>
      <c r="G57" s="86"/>
      <c r="H57" s="86"/>
      <c r="I57" s="83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 spans="1:26" ht="12" customHeight="1" x14ac:dyDescent="0.25">
      <c r="A58" s="86"/>
      <c r="B58" s="86"/>
      <c r="C58" s="86"/>
      <c r="D58" s="86"/>
      <c r="E58" s="86"/>
      <c r="F58" s="86"/>
      <c r="G58" s="86"/>
      <c r="H58" s="86"/>
      <c r="I58" s="83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 spans="1:26" ht="12" customHeight="1" x14ac:dyDescent="0.25">
      <c r="A59" s="86"/>
      <c r="B59" s="86"/>
      <c r="C59" s="86"/>
      <c r="D59" s="86"/>
      <c r="E59" s="86"/>
      <c r="F59" s="86"/>
      <c r="G59" s="86"/>
      <c r="H59" s="86"/>
      <c r="I59" s="83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 spans="1:26" ht="12" customHeight="1" x14ac:dyDescent="0.25">
      <c r="A60" s="86"/>
      <c r="B60" s="86"/>
      <c r="C60" s="86"/>
      <c r="D60" s="86"/>
      <c r="E60" s="86"/>
      <c r="F60" s="86"/>
      <c r="G60" s="86"/>
      <c r="H60" s="86"/>
      <c r="I60" s="83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 spans="1:26" ht="12" customHeight="1" x14ac:dyDescent="0.25">
      <c r="A61" s="86"/>
      <c r="B61" s="86"/>
      <c r="C61" s="86"/>
      <c r="D61" s="86"/>
      <c r="E61" s="86"/>
      <c r="F61" s="86"/>
      <c r="G61" s="86"/>
      <c r="H61" s="86"/>
      <c r="I61" s="83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 spans="1:26" ht="12" customHeight="1" x14ac:dyDescent="0.25">
      <c r="A62" s="86"/>
      <c r="B62" s="86"/>
      <c r="C62" s="86"/>
      <c r="D62" s="86"/>
      <c r="E62" s="86"/>
      <c r="F62" s="86"/>
      <c r="G62" s="86"/>
      <c r="H62" s="86"/>
      <c r="I62" s="83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 spans="1:26" ht="12" customHeight="1" x14ac:dyDescent="0.25">
      <c r="A63" s="86"/>
      <c r="B63" s="86"/>
      <c r="C63" s="86"/>
      <c r="D63" s="86"/>
      <c r="E63" s="86"/>
      <c r="F63" s="86"/>
      <c r="G63" s="86"/>
      <c r="H63" s="86"/>
      <c r="I63" s="83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 spans="1:26" ht="12" customHeight="1" x14ac:dyDescent="0.25">
      <c r="A64" s="86"/>
      <c r="B64" s="86"/>
      <c r="C64" s="86"/>
      <c r="D64" s="86"/>
      <c r="E64" s="86"/>
      <c r="F64" s="86"/>
      <c r="G64" s="86"/>
      <c r="H64" s="86"/>
      <c r="I64" s="83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 spans="1:26" ht="12" customHeight="1" x14ac:dyDescent="0.25">
      <c r="A65" s="86"/>
      <c r="B65" s="86"/>
      <c r="C65" s="86"/>
      <c r="D65" s="86"/>
      <c r="E65" s="86"/>
      <c r="F65" s="86"/>
      <c r="G65" s="86"/>
      <c r="H65" s="86"/>
      <c r="I65" s="83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 spans="1:26" ht="12" customHeight="1" x14ac:dyDescent="0.25">
      <c r="A66" s="86"/>
      <c r="B66" s="86"/>
      <c r="C66" s="86"/>
      <c r="D66" s="86"/>
      <c r="E66" s="86"/>
      <c r="F66" s="86"/>
      <c r="G66" s="86"/>
      <c r="H66" s="86"/>
      <c r="I66" s="83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 spans="1:26" ht="12" customHeight="1" x14ac:dyDescent="0.25">
      <c r="A67" s="86"/>
      <c r="B67" s="86"/>
      <c r="C67" s="86"/>
      <c r="D67" s="86"/>
      <c r="E67" s="86"/>
      <c r="F67" s="86"/>
      <c r="G67" s="86"/>
      <c r="H67" s="86"/>
      <c r="I67" s="83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 spans="1:26" ht="12" customHeight="1" x14ac:dyDescent="0.25">
      <c r="A68" s="86"/>
      <c r="B68" s="86"/>
      <c r="C68" s="86"/>
      <c r="D68" s="86"/>
      <c r="E68" s="86"/>
      <c r="F68" s="86"/>
      <c r="G68" s="86"/>
      <c r="H68" s="86"/>
      <c r="I68" s="83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 spans="1:26" ht="12" customHeight="1" x14ac:dyDescent="0.25">
      <c r="A69" s="86"/>
      <c r="B69" s="86"/>
      <c r="C69" s="86"/>
      <c r="D69" s="86"/>
      <c r="E69" s="86"/>
      <c r="F69" s="86"/>
      <c r="G69" s="86"/>
      <c r="H69" s="86"/>
      <c r="I69" s="83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 spans="1:26" ht="12" customHeight="1" x14ac:dyDescent="0.25">
      <c r="A70" s="86"/>
      <c r="B70" s="86"/>
      <c r="C70" s="86"/>
      <c r="D70" s="86"/>
      <c r="E70" s="86"/>
      <c r="F70" s="86"/>
      <c r="G70" s="86"/>
      <c r="H70" s="86"/>
      <c r="I70" s="83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 spans="1:26" ht="12" customHeight="1" x14ac:dyDescent="0.25">
      <c r="A71" s="86"/>
      <c r="B71" s="86"/>
      <c r="C71" s="86"/>
      <c r="D71" s="86"/>
      <c r="E71" s="86"/>
      <c r="F71" s="86"/>
      <c r="G71" s="86"/>
      <c r="H71" s="86"/>
      <c r="I71" s="83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 spans="1:26" ht="12" customHeight="1" x14ac:dyDescent="0.25">
      <c r="A72" s="86"/>
      <c r="B72" s="86"/>
      <c r="C72" s="86"/>
      <c r="D72" s="86"/>
      <c r="E72" s="86"/>
      <c r="F72" s="86"/>
      <c r="G72" s="86"/>
      <c r="H72" s="86"/>
      <c r="I72" s="83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 spans="1:26" ht="12" customHeight="1" x14ac:dyDescent="0.25">
      <c r="A73" s="86"/>
      <c r="B73" s="86"/>
      <c r="C73" s="86"/>
      <c r="D73" s="86"/>
      <c r="E73" s="86"/>
      <c r="F73" s="86"/>
      <c r="G73" s="86"/>
      <c r="H73" s="86"/>
      <c r="I73" s="83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 spans="1:26" ht="12" customHeight="1" x14ac:dyDescent="0.25">
      <c r="A74" s="86"/>
      <c r="B74" s="86"/>
      <c r="C74" s="86"/>
      <c r="D74" s="86"/>
      <c r="E74" s="86"/>
      <c r="F74" s="86"/>
      <c r="G74" s="86"/>
      <c r="H74" s="86"/>
      <c r="I74" s="83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 spans="1:26" ht="12" customHeight="1" x14ac:dyDescent="0.25">
      <c r="A75" s="86"/>
      <c r="B75" s="86"/>
      <c r="C75" s="86"/>
      <c r="D75" s="86"/>
      <c r="E75" s="86"/>
      <c r="F75" s="86"/>
      <c r="G75" s="86"/>
      <c r="H75" s="86"/>
      <c r="I75" s="83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 spans="1:26" ht="12" customHeight="1" x14ac:dyDescent="0.25">
      <c r="A76" s="86"/>
      <c r="B76" s="86"/>
      <c r="C76" s="86"/>
      <c r="D76" s="86"/>
      <c r="E76" s="86"/>
      <c r="F76" s="86"/>
      <c r="G76" s="86"/>
      <c r="H76" s="86"/>
      <c r="I76" s="83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 spans="1:26" ht="12" customHeight="1" x14ac:dyDescent="0.25">
      <c r="A77" s="86"/>
      <c r="B77" s="86"/>
      <c r="C77" s="86"/>
      <c r="D77" s="86"/>
      <c r="E77" s="86"/>
      <c r="F77" s="86"/>
      <c r="G77" s="86"/>
      <c r="H77" s="86"/>
      <c r="I77" s="83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 spans="1:26" ht="12" customHeight="1" x14ac:dyDescent="0.25">
      <c r="A78" s="86"/>
      <c r="B78" s="86"/>
      <c r="C78" s="86"/>
      <c r="D78" s="86"/>
      <c r="E78" s="86"/>
      <c r="F78" s="86"/>
      <c r="G78" s="86"/>
      <c r="H78" s="86"/>
      <c r="I78" s="83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 spans="1:26" ht="12" customHeight="1" x14ac:dyDescent="0.25">
      <c r="A79" s="86"/>
      <c r="B79" s="86"/>
      <c r="C79" s="86"/>
      <c r="D79" s="86"/>
      <c r="E79" s="86"/>
      <c r="F79" s="86"/>
      <c r="G79" s="86"/>
      <c r="H79" s="86"/>
      <c r="I79" s="83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 spans="1:26" ht="12" customHeight="1" x14ac:dyDescent="0.25">
      <c r="A80" s="86"/>
      <c r="B80" s="86"/>
      <c r="C80" s="86"/>
      <c r="D80" s="86"/>
      <c r="E80" s="86"/>
      <c r="F80" s="86"/>
      <c r="G80" s="86"/>
      <c r="H80" s="86"/>
      <c r="I80" s="83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 spans="1:26" ht="12" customHeight="1" x14ac:dyDescent="0.25">
      <c r="A81" s="86"/>
      <c r="B81" s="86"/>
      <c r="C81" s="86"/>
      <c r="D81" s="86"/>
      <c r="E81" s="86"/>
      <c r="F81" s="86"/>
      <c r="G81" s="86"/>
      <c r="H81" s="86"/>
      <c r="I81" s="83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 spans="1:26" ht="12" customHeight="1" x14ac:dyDescent="0.25">
      <c r="A82" s="86"/>
      <c r="B82" s="86"/>
      <c r="C82" s="86"/>
      <c r="D82" s="86"/>
      <c r="E82" s="86"/>
      <c r="F82" s="86"/>
      <c r="G82" s="86"/>
      <c r="H82" s="86"/>
      <c r="I82" s="83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 spans="1:26" ht="12" customHeight="1" x14ac:dyDescent="0.25">
      <c r="A83" s="86"/>
      <c r="B83" s="86"/>
      <c r="C83" s="86"/>
      <c r="D83" s="86"/>
      <c r="E83" s="86"/>
      <c r="F83" s="86"/>
      <c r="G83" s="86"/>
      <c r="H83" s="86"/>
      <c r="I83" s="83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 spans="1:26" ht="12" customHeight="1" x14ac:dyDescent="0.25">
      <c r="A84" s="86"/>
      <c r="B84" s="86"/>
      <c r="C84" s="86"/>
      <c r="D84" s="86"/>
      <c r="E84" s="86"/>
      <c r="F84" s="86"/>
      <c r="G84" s="86"/>
      <c r="H84" s="86"/>
      <c r="I84" s="83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 spans="1:26" ht="12" customHeight="1" x14ac:dyDescent="0.25">
      <c r="A85" s="86"/>
      <c r="B85" s="86"/>
      <c r="C85" s="86"/>
      <c r="D85" s="86"/>
      <c r="E85" s="86"/>
      <c r="F85" s="86"/>
      <c r="G85" s="86"/>
      <c r="H85" s="86"/>
      <c r="I85" s="83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 spans="1:26" ht="12" customHeight="1" x14ac:dyDescent="0.25">
      <c r="A86" s="86"/>
      <c r="B86" s="86"/>
      <c r="C86" s="86"/>
      <c r="D86" s="86"/>
      <c r="E86" s="86"/>
      <c r="F86" s="86"/>
      <c r="G86" s="86"/>
      <c r="H86" s="86"/>
      <c r="I86" s="83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 spans="1:26" ht="12" customHeight="1" x14ac:dyDescent="0.25">
      <c r="A87" s="86"/>
      <c r="B87" s="86"/>
      <c r="C87" s="86"/>
      <c r="D87" s="86"/>
      <c r="E87" s="86"/>
      <c r="F87" s="86"/>
      <c r="G87" s="86"/>
      <c r="H87" s="86"/>
      <c r="I87" s="83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 spans="1:26" ht="12" customHeight="1" x14ac:dyDescent="0.25">
      <c r="A88" s="86"/>
      <c r="B88" s="86"/>
      <c r="C88" s="86"/>
      <c r="D88" s="86"/>
      <c r="E88" s="86"/>
      <c r="F88" s="86"/>
      <c r="G88" s="86"/>
      <c r="H88" s="86"/>
      <c r="I88" s="83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 spans="1:26" ht="12" customHeight="1" x14ac:dyDescent="0.25">
      <c r="A89" s="86"/>
      <c r="B89" s="86"/>
      <c r="C89" s="86"/>
      <c r="D89" s="86"/>
      <c r="E89" s="86"/>
      <c r="F89" s="86"/>
      <c r="G89" s="86"/>
      <c r="H89" s="86"/>
      <c r="I89" s="83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 spans="1:26" ht="12" customHeight="1" x14ac:dyDescent="0.25">
      <c r="A90" s="86"/>
      <c r="B90" s="86"/>
      <c r="C90" s="86"/>
      <c r="D90" s="86"/>
      <c r="E90" s="86"/>
      <c r="F90" s="86"/>
      <c r="G90" s="86"/>
      <c r="H90" s="86"/>
      <c r="I90" s="83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 spans="1:26" ht="12" customHeight="1" x14ac:dyDescent="0.25">
      <c r="A91" s="86"/>
      <c r="B91" s="86"/>
      <c r="C91" s="86"/>
      <c r="D91" s="86"/>
      <c r="E91" s="86"/>
      <c r="F91" s="86"/>
      <c r="G91" s="86"/>
      <c r="H91" s="86"/>
      <c r="I91" s="83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 spans="1:26" ht="12" customHeight="1" x14ac:dyDescent="0.25">
      <c r="A92" s="86"/>
      <c r="B92" s="86"/>
      <c r="C92" s="86"/>
      <c r="D92" s="86"/>
      <c r="E92" s="86"/>
      <c r="F92" s="86"/>
      <c r="G92" s="86"/>
      <c r="H92" s="86"/>
      <c r="I92" s="83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 spans="1:26" ht="12" customHeight="1" x14ac:dyDescent="0.25">
      <c r="A93" s="86"/>
      <c r="B93" s="86"/>
      <c r="C93" s="86"/>
      <c r="D93" s="86"/>
      <c r="E93" s="86"/>
      <c r="F93" s="86"/>
      <c r="G93" s="86"/>
      <c r="H93" s="86"/>
      <c r="I93" s="83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 spans="1:26" ht="12" customHeight="1" x14ac:dyDescent="0.25">
      <c r="A94" s="86"/>
      <c r="B94" s="86"/>
      <c r="C94" s="86"/>
      <c r="D94" s="86"/>
      <c r="E94" s="86"/>
      <c r="F94" s="86"/>
      <c r="G94" s="86"/>
      <c r="H94" s="86"/>
      <c r="I94" s="83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 spans="1:26" ht="12" customHeight="1" x14ac:dyDescent="0.25">
      <c r="A95" s="86"/>
      <c r="B95" s="86"/>
      <c r="C95" s="86"/>
      <c r="D95" s="86"/>
      <c r="E95" s="86"/>
      <c r="F95" s="86"/>
      <c r="G95" s="86"/>
      <c r="H95" s="86"/>
      <c r="I95" s="83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 spans="1:26" ht="12" customHeight="1" x14ac:dyDescent="0.25">
      <c r="A96" s="86"/>
      <c r="B96" s="86"/>
      <c r="C96" s="86"/>
      <c r="D96" s="86"/>
      <c r="E96" s="86"/>
      <c r="F96" s="86"/>
      <c r="G96" s="86"/>
      <c r="H96" s="86"/>
      <c r="I96" s="83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 spans="1:26" ht="12" customHeight="1" x14ac:dyDescent="0.25">
      <c r="A97" s="86"/>
      <c r="B97" s="86"/>
      <c r="C97" s="86"/>
      <c r="D97" s="86"/>
      <c r="E97" s="86"/>
      <c r="F97" s="86"/>
      <c r="G97" s="86"/>
      <c r="H97" s="86"/>
      <c r="I97" s="83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 spans="1:26" ht="12" customHeight="1" x14ac:dyDescent="0.25">
      <c r="A98" s="86"/>
      <c r="B98" s="86"/>
      <c r="C98" s="86"/>
      <c r="D98" s="86"/>
      <c r="E98" s="86"/>
      <c r="F98" s="86"/>
      <c r="G98" s="86"/>
      <c r="H98" s="86"/>
      <c r="I98" s="83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 spans="1:26" ht="12" customHeight="1" x14ac:dyDescent="0.25">
      <c r="A99" s="86"/>
      <c r="B99" s="86"/>
      <c r="C99" s="86"/>
      <c r="D99" s="86"/>
      <c r="E99" s="86"/>
      <c r="F99" s="86"/>
      <c r="G99" s="86"/>
      <c r="H99" s="86"/>
      <c r="I99" s="83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 spans="1:26" ht="12" customHeight="1" x14ac:dyDescent="0.25">
      <c r="A100" s="86"/>
      <c r="B100" s="86"/>
      <c r="C100" s="86"/>
      <c r="D100" s="86"/>
      <c r="E100" s="86"/>
      <c r="F100" s="86"/>
      <c r="G100" s="86"/>
      <c r="H100" s="86"/>
      <c r="I100" s="83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 spans="1:26" ht="12" customHeight="1" x14ac:dyDescent="0.25">
      <c r="A101" s="86"/>
      <c r="B101" s="86"/>
      <c r="C101" s="86"/>
      <c r="D101" s="86"/>
      <c r="E101" s="86"/>
      <c r="F101" s="86"/>
      <c r="G101" s="86"/>
      <c r="H101" s="86"/>
      <c r="I101" s="83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 spans="1:26" ht="12" customHeight="1" x14ac:dyDescent="0.25">
      <c r="A102" s="86"/>
      <c r="B102" s="86"/>
      <c r="C102" s="86"/>
      <c r="D102" s="86"/>
      <c r="E102" s="86"/>
      <c r="F102" s="86"/>
      <c r="G102" s="86"/>
      <c r="H102" s="86"/>
      <c r="I102" s="83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 spans="1:26" ht="12" customHeight="1" x14ac:dyDescent="0.25">
      <c r="A103" s="86"/>
      <c r="B103" s="86"/>
      <c r="C103" s="86"/>
      <c r="D103" s="86"/>
      <c r="E103" s="86"/>
      <c r="F103" s="86"/>
      <c r="G103" s="86"/>
      <c r="H103" s="86"/>
      <c r="I103" s="83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 spans="1:26" ht="12" customHeight="1" x14ac:dyDescent="0.25">
      <c r="A104" s="86"/>
      <c r="B104" s="86"/>
      <c r="C104" s="86"/>
      <c r="D104" s="86"/>
      <c r="E104" s="86"/>
      <c r="F104" s="86"/>
      <c r="G104" s="86"/>
      <c r="H104" s="86"/>
      <c r="I104" s="83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 spans="1:26" ht="12" customHeight="1" x14ac:dyDescent="0.25">
      <c r="A105" s="86"/>
      <c r="B105" s="86"/>
      <c r="C105" s="86"/>
      <c r="D105" s="86"/>
      <c r="E105" s="86"/>
      <c r="F105" s="86"/>
      <c r="G105" s="86"/>
      <c r="H105" s="86"/>
      <c r="I105" s="83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 spans="1:26" ht="12" customHeight="1" x14ac:dyDescent="0.25">
      <c r="A106" s="86"/>
      <c r="B106" s="86"/>
      <c r="C106" s="86"/>
      <c r="D106" s="86"/>
      <c r="E106" s="86"/>
      <c r="F106" s="86"/>
      <c r="G106" s="86"/>
      <c r="H106" s="86"/>
      <c r="I106" s="83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 spans="1:26" ht="12" customHeight="1" x14ac:dyDescent="0.25">
      <c r="A107" s="86"/>
      <c r="B107" s="86"/>
      <c r="C107" s="86"/>
      <c r="D107" s="86"/>
      <c r="E107" s="86"/>
      <c r="F107" s="86"/>
      <c r="G107" s="86"/>
      <c r="H107" s="86"/>
      <c r="I107" s="83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 spans="1:26" ht="12" customHeight="1" x14ac:dyDescent="0.25">
      <c r="A108" s="86"/>
      <c r="B108" s="86"/>
      <c r="C108" s="86"/>
      <c r="D108" s="86"/>
      <c r="E108" s="86"/>
      <c r="F108" s="86"/>
      <c r="G108" s="86"/>
      <c r="H108" s="86"/>
      <c r="I108" s="83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 spans="1:26" ht="12" customHeight="1" x14ac:dyDescent="0.25">
      <c r="A109" s="86"/>
      <c r="B109" s="86"/>
      <c r="C109" s="86"/>
      <c r="D109" s="86"/>
      <c r="E109" s="86"/>
      <c r="F109" s="86"/>
      <c r="G109" s="86"/>
      <c r="H109" s="86"/>
      <c r="I109" s="83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 spans="1:26" ht="12" customHeight="1" x14ac:dyDescent="0.25">
      <c r="A110" s="86"/>
      <c r="B110" s="86"/>
      <c r="C110" s="86"/>
      <c r="D110" s="86"/>
      <c r="E110" s="86"/>
      <c r="F110" s="86"/>
      <c r="G110" s="86"/>
      <c r="H110" s="86"/>
      <c r="I110" s="83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 spans="1:26" ht="12" customHeight="1" x14ac:dyDescent="0.25">
      <c r="A111" s="86"/>
      <c r="B111" s="86"/>
      <c r="C111" s="86"/>
      <c r="D111" s="86"/>
      <c r="E111" s="86"/>
      <c r="F111" s="86"/>
      <c r="G111" s="86"/>
      <c r="H111" s="86"/>
      <c r="I111" s="83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 spans="1:26" ht="12" customHeight="1" x14ac:dyDescent="0.25">
      <c r="A112" s="86"/>
      <c r="B112" s="86"/>
      <c r="C112" s="86"/>
      <c r="D112" s="86"/>
      <c r="E112" s="86"/>
      <c r="F112" s="86"/>
      <c r="G112" s="86"/>
      <c r="H112" s="86"/>
      <c r="I112" s="83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 spans="1:26" ht="12" customHeight="1" x14ac:dyDescent="0.25">
      <c r="A113" s="86"/>
      <c r="B113" s="86"/>
      <c r="C113" s="86"/>
      <c r="D113" s="86"/>
      <c r="E113" s="86"/>
      <c r="F113" s="86"/>
      <c r="G113" s="86"/>
      <c r="H113" s="86"/>
      <c r="I113" s="83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 spans="1:26" ht="12" customHeight="1" x14ac:dyDescent="0.25">
      <c r="A114" s="86"/>
      <c r="B114" s="86"/>
      <c r="C114" s="86"/>
      <c r="D114" s="86"/>
      <c r="E114" s="86"/>
      <c r="F114" s="86"/>
      <c r="G114" s="86"/>
      <c r="H114" s="86"/>
      <c r="I114" s="83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 spans="1:26" ht="12" customHeight="1" x14ac:dyDescent="0.25">
      <c r="A115" s="86"/>
      <c r="B115" s="86"/>
      <c r="C115" s="86"/>
      <c r="D115" s="86"/>
      <c r="E115" s="86"/>
      <c r="F115" s="86"/>
      <c r="G115" s="86"/>
      <c r="H115" s="86"/>
      <c r="I115" s="83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 spans="1:26" ht="12" customHeight="1" x14ac:dyDescent="0.25">
      <c r="A116" s="86"/>
      <c r="B116" s="86"/>
      <c r="C116" s="86"/>
      <c r="D116" s="86"/>
      <c r="E116" s="86"/>
      <c r="F116" s="86"/>
      <c r="G116" s="86"/>
      <c r="H116" s="86"/>
      <c r="I116" s="83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 spans="1:26" ht="12" customHeight="1" x14ac:dyDescent="0.25">
      <c r="A117" s="86"/>
      <c r="B117" s="86"/>
      <c r="C117" s="86"/>
      <c r="D117" s="86"/>
      <c r="E117" s="86"/>
      <c r="F117" s="86"/>
      <c r="G117" s="86"/>
      <c r="H117" s="86"/>
      <c r="I117" s="83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 spans="1:26" ht="12" customHeight="1" x14ac:dyDescent="0.25">
      <c r="A118" s="86"/>
      <c r="B118" s="86"/>
      <c r="C118" s="86"/>
      <c r="D118" s="86"/>
      <c r="E118" s="86"/>
      <c r="F118" s="86"/>
      <c r="G118" s="86"/>
      <c r="H118" s="86"/>
      <c r="I118" s="83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 spans="1:26" ht="12" customHeight="1" x14ac:dyDescent="0.25">
      <c r="A119" s="86"/>
      <c r="B119" s="86"/>
      <c r="C119" s="86"/>
      <c r="D119" s="86"/>
      <c r="E119" s="86"/>
      <c r="F119" s="86"/>
      <c r="G119" s="86"/>
      <c r="H119" s="86"/>
      <c r="I119" s="83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 spans="1:26" ht="12" customHeight="1" x14ac:dyDescent="0.25">
      <c r="A120" s="86"/>
      <c r="B120" s="86"/>
      <c r="C120" s="86"/>
      <c r="D120" s="86"/>
      <c r="E120" s="86"/>
      <c r="F120" s="86"/>
      <c r="G120" s="86"/>
      <c r="H120" s="86"/>
      <c r="I120" s="83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 spans="1:26" ht="12" customHeight="1" x14ac:dyDescent="0.25">
      <c r="A121" s="86"/>
      <c r="B121" s="86"/>
      <c r="C121" s="86"/>
      <c r="D121" s="86"/>
      <c r="E121" s="86"/>
      <c r="F121" s="86"/>
      <c r="G121" s="86"/>
      <c r="H121" s="86"/>
      <c r="I121" s="83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 spans="1:26" ht="12" customHeight="1" x14ac:dyDescent="0.25">
      <c r="A122" s="86"/>
      <c r="B122" s="86"/>
      <c r="C122" s="86"/>
      <c r="D122" s="86"/>
      <c r="E122" s="86"/>
      <c r="F122" s="86"/>
      <c r="G122" s="86"/>
      <c r="H122" s="86"/>
      <c r="I122" s="83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 spans="1:26" ht="12" customHeight="1" x14ac:dyDescent="0.25">
      <c r="A123" s="86"/>
      <c r="B123" s="86"/>
      <c r="C123" s="86"/>
      <c r="D123" s="86"/>
      <c r="E123" s="86"/>
      <c r="F123" s="86"/>
      <c r="G123" s="86"/>
      <c r="H123" s="86"/>
      <c r="I123" s="83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 spans="1:26" ht="12" customHeight="1" x14ac:dyDescent="0.25">
      <c r="A124" s="86"/>
      <c r="B124" s="86"/>
      <c r="C124" s="86"/>
      <c r="D124" s="86"/>
      <c r="E124" s="86"/>
      <c r="F124" s="86"/>
      <c r="G124" s="86"/>
      <c r="H124" s="86"/>
      <c r="I124" s="83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 spans="1:26" ht="12" customHeight="1" x14ac:dyDescent="0.25">
      <c r="A125" s="86"/>
      <c r="B125" s="86"/>
      <c r="C125" s="86"/>
      <c r="D125" s="86"/>
      <c r="E125" s="86"/>
      <c r="F125" s="86"/>
      <c r="G125" s="86"/>
      <c r="H125" s="86"/>
      <c r="I125" s="83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 spans="1:26" ht="12" customHeight="1" x14ac:dyDescent="0.25">
      <c r="A126" s="86"/>
      <c r="B126" s="86"/>
      <c r="C126" s="86"/>
      <c r="D126" s="86"/>
      <c r="E126" s="86"/>
      <c r="F126" s="86"/>
      <c r="G126" s="86"/>
      <c r="H126" s="86"/>
      <c r="I126" s="83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 spans="1:26" ht="12" customHeight="1" x14ac:dyDescent="0.25">
      <c r="A127" s="86"/>
      <c r="B127" s="86"/>
      <c r="C127" s="86"/>
      <c r="D127" s="86"/>
      <c r="E127" s="86"/>
      <c r="F127" s="86"/>
      <c r="G127" s="86"/>
      <c r="H127" s="86"/>
      <c r="I127" s="83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 spans="1:26" ht="12" customHeight="1" x14ac:dyDescent="0.25">
      <c r="A128" s="86"/>
      <c r="B128" s="86"/>
      <c r="C128" s="86"/>
      <c r="D128" s="86"/>
      <c r="E128" s="86"/>
      <c r="F128" s="86"/>
      <c r="G128" s="86"/>
      <c r="H128" s="86"/>
      <c r="I128" s="83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 spans="1:26" ht="12" customHeight="1" x14ac:dyDescent="0.25">
      <c r="A129" s="86"/>
      <c r="B129" s="86"/>
      <c r="C129" s="86"/>
      <c r="D129" s="86"/>
      <c r="E129" s="86"/>
      <c r="F129" s="86"/>
      <c r="G129" s="86"/>
      <c r="H129" s="86"/>
      <c r="I129" s="83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 spans="1:26" ht="12" customHeight="1" x14ac:dyDescent="0.25">
      <c r="A130" s="86"/>
      <c r="B130" s="86"/>
      <c r="C130" s="86"/>
      <c r="D130" s="86"/>
      <c r="E130" s="86"/>
      <c r="F130" s="86"/>
      <c r="G130" s="86"/>
      <c r="H130" s="86"/>
      <c r="I130" s="83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 spans="1:26" ht="12" customHeight="1" x14ac:dyDescent="0.25">
      <c r="A131" s="86"/>
      <c r="B131" s="86"/>
      <c r="C131" s="86"/>
      <c r="D131" s="86"/>
      <c r="E131" s="86"/>
      <c r="F131" s="86"/>
      <c r="G131" s="86"/>
      <c r="H131" s="86"/>
      <c r="I131" s="83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 spans="1:26" ht="12" customHeight="1" x14ac:dyDescent="0.25">
      <c r="A132" s="86"/>
      <c r="B132" s="86"/>
      <c r="C132" s="86"/>
      <c r="D132" s="86"/>
      <c r="E132" s="86"/>
      <c r="F132" s="86"/>
      <c r="G132" s="86"/>
      <c r="H132" s="86"/>
      <c r="I132" s="83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 spans="1:26" ht="12" customHeight="1" x14ac:dyDescent="0.25">
      <c r="A133" s="86"/>
      <c r="B133" s="86"/>
      <c r="C133" s="86"/>
      <c r="D133" s="86"/>
      <c r="E133" s="86"/>
      <c r="F133" s="86"/>
      <c r="G133" s="86"/>
      <c r="H133" s="86"/>
      <c r="I133" s="83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 spans="1:26" ht="12" customHeight="1" x14ac:dyDescent="0.25">
      <c r="A134" s="86"/>
      <c r="B134" s="86"/>
      <c r="C134" s="86"/>
      <c r="D134" s="86"/>
      <c r="E134" s="86"/>
      <c r="F134" s="86"/>
      <c r="G134" s="86"/>
      <c r="H134" s="86"/>
      <c r="I134" s="83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 spans="1:26" ht="12" customHeight="1" x14ac:dyDescent="0.25">
      <c r="A135" s="86"/>
      <c r="B135" s="86"/>
      <c r="C135" s="86"/>
      <c r="D135" s="86"/>
      <c r="E135" s="86"/>
      <c r="F135" s="86"/>
      <c r="G135" s="86"/>
      <c r="H135" s="86"/>
      <c r="I135" s="83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 spans="1:26" ht="12" customHeight="1" x14ac:dyDescent="0.25">
      <c r="A136" s="86"/>
      <c r="B136" s="86"/>
      <c r="C136" s="86"/>
      <c r="D136" s="86"/>
      <c r="E136" s="86"/>
      <c r="F136" s="86"/>
      <c r="G136" s="86"/>
      <c r="H136" s="86"/>
      <c r="I136" s="83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 spans="1:26" ht="12" customHeight="1" x14ac:dyDescent="0.25">
      <c r="A137" s="86"/>
      <c r="B137" s="86"/>
      <c r="C137" s="86"/>
      <c r="D137" s="86"/>
      <c r="E137" s="86"/>
      <c r="F137" s="86"/>
      <c r="G137" s="86"/>
      <c r="H137" s="86"/>
      <c r="I137" s="83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 spans="1:26" ht="12" customHeight="1" x14ac:dyDescent="0.25">
      <c r="A138" s="86"/>
      <c r="B138" s="86"/>
      <c r="C138" s="86"/>
      <c r="D138" s="86"/>
      <c r="E138" s="86"/>
      <c r="F138" s="86"/>
      <c r="G138" s="86"/>
      <c r="H138" s="86"/>
      <c r="I138" s="83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 spans="1:26" ht="12" customHeight="1" x14ac:dyDescent="0.25">
      <c r="A139" s="86"/>
      <c r="B139" s="86"/>
      <c r="C139" s="86"/>
      <c r="D139" s="86"/>
      <c r="E139" s="86"/>
      <c r="F139" s="86"/>
      <c r="G139" s="86"/>
      <c r="H139" s="86"/>
      <c r="I139" s="83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 spans="1:26" ht="12" customHeight="1" x14ac:dyDescent="0.25">
      <c r="A140" s="86"/>
      <c r="B140" s="86"/>
      <c r="C140" s="86"/>
      <c r="D140" s="86"/>
      <c r="E140" s="86"/>
      <c r="F140" s="86"/>
      <c r="G140" s="86"/>
      <c r="H140" s="86"/>
      <c r="I140" s="83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 spans="1:26" ht="12" customHeight="1" x14ac:dyDescent="0.25">
      <c r="A141" s="86"/>
      <c r="B141" s="86"/>
      <c r="C141" s="86"/>
      <c r="D141" s="86"/>
      <c r="E141" s="86"/>
      <c r="F141" s="86"/>
      <c r="G141" s="86"/>
      <c r="H141" s="86"/>
      <c r="I141" s="83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 spans="1:26" ht="12" customHeight="1" x14ac:dyDescent="0.25">
      <c r="A142" s="86"/>
      <c r="B142" s="86"/>
      <c r="C142" s="86"/>
      <c r="D142" s="86"/>
      <c r="E142" s="86"/>
      <c r="F142" s="86"/>
      <c r="G142" s="86"/>
      <c r="H142" s="86"/>
      <c r="I142" s="83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 spans="1:26" ht="12" customHeight="1" x14ac:dyDescent="0.25">
      <c r="A143" s="86"/>
      <c r="B143" s="86"/>
      <c r="C143" s="86"/>
      <c r="D143" s="86"/>
      <c r="E143" s="86"/>
      <c r="F143" s="86"/>
      <c r="G143" s="86"/>
      <c r="H143" s="86"/>
      <c r="I143" s="83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 spans="1:26" ht="12" customHeight="1" x14ac:dyDescent="0.25">
      <c r="A144" s="86"/>
      <c r="B144" s="86"/>
      <c r="C144" s="86"/>
      <c r="D144" s="86"/>
      <c r="E144" s="86"/>
      <c r="F144" s="86"/>
      <c r="G144" s="86"/>
      <c r="H144" s="86"/>
      <c r="I144" s="83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 spans="1:26" ht="12" customHeight="1" x14ac:dyDescent="0.25">
      <c r="A145" s="86"/>
      <c r="B145" s="86"/>
      <c r="C145" s="86"/>
      <c r="D145" s="86"/>
      <c r="E145" s="86"/>
      <c r="F145" s="86"/>
      <c r="G145" s="86"/>
      <c r="H145" s="86"/>
      <c r="I145" s="83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 spans="1:26" ht="12" customHeight="1" x14ac:dyDescent="0.25">
      <c r="A146" s="86"/>
      <c r="B146" s="86"/>
      <c r="C146" s="86"/>
      <c r="D146" s="86"/>
      <c r="E146" s="86"/>
      <c r="F146" s="86"/>
      <c r="G146" s="86"/>
      <c r="H146" s="86"/>
      <c r="I146" s="83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 spans="1:26" ht="12" customHeight="1" x14ac:dyDescent="0.25">
      <c r="A147" s="86"/>
      <c r="B147" s="86"/>
      <c r="C147" s="86"/>
      <c r="D147" s="86"/>
      <c r="E147" s="86"/>
      <c r="F147" s="86"/>
      <c r="G147" s="86"/>
      <c r="H147" s="86"/>
      <c r="I147" s="83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 spans="1:26" ht="12" customHeight="1" x14ac:dyDescent="0.25">
      <c r="A148" s="86"/>
      <c r="B148" s="86"/>
      <c r="C148" s="86"/>
      <c r="D148" s="86"/>
      <c r="E148" s="86"/>
      <c r="F148" s="86"/>
      <c r="G148" s="86"/>
      <c r="H148" s="86"/>
      <c r="I148" s="83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 spans="1:26" ht="12" customHeight="1" x14ac:dyDescent="0.25">
      <c r="A149" s="86"/>
      <c r="B149" s="86"/>
      <c r="C149" s="86"/>
      <c r="D149" s="86"/>
      <c r="E149" s="86"/>
      <c r="F149" s="86"/>
      <c r="G149" s="86"/>
      <c r="H149" s="86"/>
      <c r="I149" s="83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 spans="1:26" ht="12" customHeight="1" x14ac:dyDescent="0.25">
      <c r="A150" s="86"/>
      <c r="B150" s="86"/>
      <c r="C150" s="86"/>
      <c r="D150" s="86"/>
      <c r="E150" s="86"/>
      <c r="F150" s="86"/>
      <c r="G150" s="86"/>
      <c r="H150" s="86"/>
      <c r="I150" s="83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 spans="1:26" ht="12" customHeight="1" x14ac:dyDescent="0.25">
      <c r="A151" s="86"/>
      <c r="B151" s="86"/>
      <c r="C151" s="86"/>
      <c r="D151" s="86"/>
      <c r="E151" s="86"/>
      <c r="F151" s="86"/>
      <c r="G151" s="86"/>
      <c r="H151" s="86"/>
      <c r="I151" s="83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 spans="1:26" ht="12" customHeight="1" x14ac:dyDescent="0.25">
      <c r="A152" s="86"/>
      <c r="B152" s="86"/>
      <c r="C152" s="86"/>
      <c r="D152" s="86"/>
      <c r="E152" s="86"/>
      <c r="F152" s="86"/>
      <c r="G152" s="86"/>
      <c r="H152" s="86"/>
      <c r="I152" s="83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 spans="1:26" ht="12" customHeight="1" x14ac:dyDescent="0.25">
      <c r="A153" s="86"/>
      <c r="B153" s="86"/>
      <c r="C153" s="86"/>
      <c r="D153" s="86"/>
      <c r="E153" s="86"/>
      <c r="F153" s="86"/>
      <c r="G153" s="86"/>
      <c r="H153" s="86"/>
      <c r="I153" s="83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 spans="1:26" ht="12" customHeight="1" x14ac:dyDescent="0.25">
      <c r="A154" s="86"/>
      <c r="B154" s="86"/>
      <c r="C154" s="86"/>
      <c r="D154" s="86"/>
      <c r="E154" s="86"/>
      <c r="F154" s="86"/>
      <c r="G154" s="86"/>
      <c r="H154" s="86"/>
      <c r="I154" s="83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 spans="1:26" ht="12" customHeight="1" x14ac:dyDescent="0.25">
      <c r="A155" s="86"/>
      <c r="B155" s="86"/>
      <c r="C155" s="86"/>
      <c r="D155" s="86"/>
      <c r="E155" s="86"/>
      <c r="F155" s="86"/>
      <c r="G155" s="86"/>
      <c r="H155" s="86"/>
      <c r="I155" s="83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 spans="1:26" ht="12" customHeight="1" x14ac:dyDescent="0.25">
      <c r="A156" s="86"/>
      <c r="B156" s="86"/>
      <c r="C156" s="86"/>
      <c r="D156" s="86"/>
      <c r="E156" s="86"/>
      <c r="F156" s="86"/>
      <c r="G156" s="86"/>
      <c r="H156" s="86"/>
      <c r="I156" s="83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 spans="1:26" ht="12" customHeight="1" x14ac:dyDescent="0.25">
      <c r="A157" s="86"/>
      <c r="B157" s="86"/>
      <c r="C157" s="86"/>
      <c r="D157" s="86"/>
      <c r="E157" s="86"/>
      <c r="F157" s="86"/>
      <c r="G157" s="86"/>
      <c r="H157" s="86"/>
      <c r="I157" s="83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 spans="1:26" ht="12" customHeight="1" x14ac:dyDescent="0.25">
      <c r="A158" s="86"/>
      <c r="B158" s="86"/>
      <c r="C158" s="86"/>
      <c r="D158" s="86"/>
      <c r="E158" s="86"/>
      <c r="F158" s="86"/>
      <c r="G158" s="86"/>
      <c r="H158" s="86"/>
      <c r="I158" s="83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 spans="1:26" ht="12" customHeight="1" x14ac:dyDescent="0.25">
      <c r="A159" s="86"/>
      <c r="B159" s="86"/>
      <c r="C159" s="86"/>
      <c r="D159" s="86"/>
      <c r="E159" s="86"/>
      <c r="F159" s="86"/>
      <c r="G159" s="86"/>
      <c r="H159" s="86"/>
      <c r="I159" s="83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 spans="1:26" ht="12" customHeight="1" x14ac:dyDescent="0.25">
      <c r="A160" s="86"/>
      <c r="B160" s="86"/>
      <c r="C160" s="86"/>
      <c r="D160" s="86"/>
      <c r="E160" s="86"/>
      <c r="F160" s="86"/>
      <c r="G160" s="86"/>
      <c r="H160" s="86"/>
      <c r="I160" s="83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 spans="1:26" ht="12" customHeight="1" x14ac:dyDescent="0.25">
      <c r="A161" s="86"/>
      <c r="B161" s="86"/>
      <c r="C161" s="86"/>
      <c r="D161" s="86"/>
      <c r="E161" s="86"/>
      <c r="F161" s="86"/>
      <c r="G161" s="86"/>
      <c r="H161" s="86"/>
      <c r="I161" s="83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 spans="1:26" ht="12" customHeight="1" x14ac:dyDescent="0.25">
      <c r="A162" s="86"/>
      <c r="B162" s="86"/>
      <c r="C162" s="86"/>
      <c r="D162" s="86"/>
      <c r="E162" s="86"/>
      <c r="F162" s="86"/>
      <c r="G162" s="86"/>
      <c r="H162" s="86"/>
      <c r="I162" s="83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 spans="1:26" ht="12" customHeight="1" x14ac:dyDescent="0.25">
      <c r="A163" s="86"/>
      <c r="B163" s="86"/>
      <c r="C163" s="86"/>
      <c r="D163" s="86"/>
      <c r="E163" s="86"/>
      <c r="F163" s="86"/>
      <c r="G163" s="86"/>
      <c r="H163" s="86"/>
      <c r="I163" s="83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 spans="1:26" ht="12" customHeight="1" x14ac:dyDescent="0.25">
      <c r="A164" s="86"/>
      <c r="B164" s="86"/>
      <c r="C164" s="86"/>
      <c r="D164" s="86"/>
      <c r="E164" s="86"/>
      <c r="F164" s="86"/>
      <c r="G164" s="86"/>
      <c r="H164" s="86"/>
      <c r="I164" s="83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 spans="1:26" ht="12" customHeight="1" x14ac:dyDescent="0.25">
      <c r="A165" s="86"/>
      <c r="B165" s="86"/>
      <c r="C165" s="86"/>
      <c r="D165" s="86"/>
      <c r="E165" s="86"/>
      <c r="F165" s="86"/>
      <c r="G165" s="86"/>
      <c r="H165" s="86"/>
      <c r="I165" s="83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 spans="1:26" ht="12" customHeight="1" x14ac:dyDescent="0.25">
      <c r="A166" s="86"/>
      <c r="B166" s="86"/>
      <c r="C166" s="86"/>
      <c r="D166" s="86"/>
      <c r="E166" s="86"/>
      <c r="F166" s="86"/>
      <c r="G166" s="86"/>
      <c r="H166" s="86"/>
      <c r="I166" s="83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 spans="1:26" ht="12" customHeight="1" x14ac:dyDescent="0.25">
      <c r="A167" s="86"/>
      <c r="B167" s="86"/>
      <c r="C167" s="86"/>
      <c r="D167" s="86"/>
      <c r="E167" s="86"/>
      <c r="F167" s="86"/>
      <c r="G167" s="86"/>
      <c r="H167" s="86"/>
      <c r="I167" s="83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 spans="1:26" ht="12" customHeight="1" x14ac:dyDescent="0.25">
      <c r="A168" s="86"/>
      <c r="B168" s="86"/>
      <c r="C168" s="86"/>
      <c r="D168" s="86"/>
      <c r="E168" s="86"/>
      <c r="F168" s="86"/>
      <c r="G168" s="86"/>
      <c r="H168" s="86"/>
      <c r="I168" s="83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 spans="1:26" ht="12" customHeight="1" x14ac:dyDescent="0.25">
      <c r="A169" s="86"/>
      <c r="B169" s="86"/>
      <c r="C169" s="86"/>
      <c r="D169" s="86"/>
      <c r="E169" s="86"/>
      <c r="F169" s="86"/>
      <c r="G169" s="86"/>
      <c r="H169" s="86"/>
      <c r="I169" s="83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 spans="1:26" ht="12" customHeight="1" x14ac:dyDescent="0.25">
      <c r="A170" s="86"/>
      <c r="B170" s="86"/>
      <c r="C170" s="86"/>
      <c r="D170" s="86"/>
      <c r="E170" s="86"/>
      <c r="F170" s="86"/>
      <c r="G170" s="86"/>
      <c r="H170" s="86"/>
      <c r="I170" s="83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 spans="1:26" ht="12" customHeight="1" x14ac:dyDescent="0.25">
      <c r="A171" s="86"/>
      <c r="B171" s="86"/>
      <c r="C171" s="86"/>
      <c r="D171" s="86"/>
      <c r="E171" s="86"/>
      <c r="F171" s="86"/>
      <c r="G171" s="86"/>
      <c r="H171" s="86"/>
      <c r="I171" s="83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 spans="1:26" ht="12" customHeight="1" x14ac:dyDescent="0.25">
      <c r="A172" s="86"/>
      <c r="B172" s="86"/>
      <c r="C172" s="86"/>
      <c r="D172" s="86"/>
      <c r="E172" s="86"/>
      <c r="F172" s="86"/>
      <c r="G172" s="86"/>
      <c r="H172" s="86"/>
      <c r="I172" s="83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 spans="1:26" ht="12" customHeight="1" x14ac:dyDescent="0.25">
      <c r="A173" s="86"/>
      <c r="B173" s="86"/>
      <c r="C173" s="86"/>
      <c r="D173" s="86"/>
      <c r="E173" s="86"/>
      <c r="F173" s="86"/>
      <c r="G173" s="86"/>
      <c r="H173" s="86"/>
      <c r="I173" s="83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 spans="1:26" ht="12" customHeight="1" x14ac:dyDescent="0.25">
      <c r="A174" s="86"/>
      <c r="B174" s="86"/>
      <c r="C174" s="86"/>
      <c r="D174" s="86"/>
      <c r="E174" s="86"/>
      <c r="F174" s="86"/>
      <c r="G174" s="86"/>
      <c r="H174" s="86"/>
      <c r="I174" s="83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 spans="1:26" ht="12" customHeight="1" x14ac:dyDescent="0.25">
      <c r="A175" s="86"/>
      <c r="B175" s="86"/>
      <c r="C175" s="86"/>
      <c r="D175" s="86"/>
      <c r="E175" s="86"/>
      <c r="F175" s="86"/>
      <c r="G175" s="86"/>
      <c r="H175" s="86"/>
      <c r="I175" s="83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 spans="1:26" ht="12" customHeight="1" x14ac:dyDescent="0.25">
      <c r="A176" s="86"/>
      <c r="B176" s="86"/>
      <c r="C176" s="86"/>
      <c r="D176" s="86"/>
      <c r="E176" s="86"/>
      <c r="F176" s="86"/>
      <c r="G176" s="86"/>
      <c r="H176" s="86"/>
      <c r="I176" s="83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 spans="1:26" ht="12" customHeight="1" x14ac:dyDescent="0.25">
      <c r="A177" s="86"/>
      <c r="B177" s="86"/>
      <c r="C177" s="86"/>
      <c r="D177" s="86"/>
      <c r="E177" s="86"/>
      <c r="F177" s="86"/>
      <c r="G177" s="86"/>
      <c r="H177" s="86"/>
      <c r="I177" s="83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 spans="1:26" ht="12" customHeight="1" x14ac:dyDescent="0.25">
      <c r="A178" s="86"/>
      <c r="B178" s="86"/>
      <c r="C178" s="86"/>
      <c r="D178" s="86"/>
      <c r="E178" s="86"/>
      <c r="F178" s="86"/>
      <c r="G178" s="86"/>
      <c r="H178" s="86"/>
      <c r="I178" s="83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 spans="1:26" ht="12" customHeight="1" x14ac:dyDescent="0.25">
      <c r="A179" s="86"/>
      <c r="B179" s="86"/>
      <c r="C179" s="86"/>
      <c r="D179" s="86"/>
      <c r="E179" s="86"/>
      <c r="F179" s="86"/>
      <c r="G179" s="86"/>
      <c r="H179" s="86"/>
      <c r="I179" s="83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 spans="1:26" ht="12" customHeight="1" x14ac:dyDescent="0.25">
      <c r="A180" s="86"/>
      <c r="B180" s="86"/>
      <c r="C180" s="86"/>
      <c r="D180" s="86"/>
      <c r="E180" s="86"/>
      <c r="F180" s="86"/>
      <c r="G180" s="86"/>
      <c r="H180" s="86"/>
      <c r="I180" s="83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 spans="1:26" ht="12" customHeight="1" x14ac:dyDescent="0.25">
      <c r="A181" s="86"/>
      <c r="B181" s="86"/>
      <c r="C181" s="86"/>
      <c r="D181" s="86"/>
      <c r="E181" s="86"/>
      <c r="F181" s="86"/>
      <c r="G181" s="86"/>
      <c r="H181" s="86"/>
      <c r="I181" s="83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 spans="1:26" ht="12" customHeight="1" x14ac:dyDescent="0.25">
      <c r="A182" s="86"/>
      <c r="B182" s="86"/>
      <c r="C182" s="86"/>
      <c r="D182" s="86"/>
      <c r="E182" s="86"/>
      <c r="F182" s="86"/>
      <c r="G182" s="86"/>
      <c r="H182" s="86"/>
      <c r="I182" s="83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 spans="1:26" ht="12" customHeight="1" x14ac:dyDescent="0.25">
      <c r="A183" s="86"/>
      <c r="B183" s="86"/>
      <c r="C183" s="86"/>
      <c r="D183" s="86"/>
      <c r="E183" s="86"/>
      <c r="F183" s="86"/>
      <c r="G183" s="86"/>
      <c r="H183" s="86"/>
      <c r="I183" s="83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 spans="1:26" ht="12" customHeight="1" x14ac:dyDescent="0.25">
      <c r="A184" s="86"/>
      <c r="B184" s="86"/>
      <c r="C184" s="86"/>
      <c r="D184" s="86"/>
      <c r="E184" s="86"/>
      <c r="F184" s="86"/>
      <c r="G184" s="86"/>
      <c r="H184" s="86"/>
      <c r="I184" s="83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 spans="1:26" ht="12" customHeight="1" x14ac:dyDescent="0.25">
      <c r="A185" s="86"/>
      <c r="B185" s="86"/>
      <c r="C185" s="86"/>
      <c r="D185" s="86"/>
      <c r="E185" s="86"/>
      <c r="F185" s="86"/>
      <c r="G185" s="86"/>
      <c r="H185" s="86"/>
      <c r="I185" s="83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 spans="1:26" ht="12" customHeight="1" x14ac:dyDescent="0.25">
      <c r="A186" s="86"/>
      <c r="B186" s="86"/>
      <c r="C186" s="86"/>
      <c r="D186" s="86"/>
      <c r="E186" s="86"/>
      <c r="F186" s="86"/>
      <c r="G186" s="86"/>
      <c r="H186" s="86"/>
      <c r="I186" s="83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 spans="1:26" ht="12" customHeight="1" x14ac:dyDescent="0.25">
      <c r="A187" s="86"/>
      <c r="B187" s="86"/>
      <c r="C187" s="86"/>
      <c r="D187" s="86"/>
      <c r="E187" s="86"/>
      <c r="F187" s="86"/>
      <c r="G187" s="86"/>
      <c r="H187" s="86"/>
      <c r="I187" s="83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 spans="1:26" ht="12" customHeight="1" x14ac:dyDescent="0.25">
      <c r="A188" s="86"/>
      <c r="B188" s="86"/>
      <c r="C188" s="86"/>
      <c r="D188" s="86"/>
      <c r="E188" s="86"/>
      <c r="F188" s="86"/>
      <c r="G188" s="86"/>
      <c r="H188" s="86"/>
      <c r="I188" s="83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 spans="1:26" ht="12" customHeight="1" x14ac:dyDescent="0.25">
      <c r="A189" s="86"/>
      <c r="B189" s="86"/>
      <c r="C189" s="86"/>
      <c r="D189" s="86"/>
      <c r="E189" s="86"/>
      <c r="F189" s="86"/>
      <c r="G189" s="86"/>
      <c r="H189" s="86"/>
      <c r="I189" s="83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 spans="1:26" ht="12" customHeight="1" x14ac:dyDescent="0.25">
      <c r="A190" s="86"/>
      <c r="B190" s="86"/>
      <c r="C190" s="86"/>
      <c r="D190" s="86"/>
      <c r="E190" s="86"/>
      <c r="F190" s="86"/>
      <c r="G190" s="86"/>
      <c r="H190" s="86"/>
      <c r="I190" s="83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 spans="1:26" ht="12" customHeight="1" x14ac:dyDescent="0.25">
      <c r="A191" s="86"/>
      <c r="B191" s="86"/>
      <c r="C191" s="86"/>
      <c r="D191" s="86"/>
      <c r="E191" s="86"/>
      <c r="F191" s="86"/>
      <c r="G191" s="86"/>
      <c r="H191" s="86"/>
      <c r="I191" s="83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 spans="1:26" ht="12" customHeight="1" x14ac:dyDescent="0.25">
      <c r="A192" s="86"/>
      <c r="B192" s="86"/>
      <c r="C192" s="86"/>
      <c r="D192" s="86"/>
      <c r="E192" s="86"/>
      <c r="F192" s="86"/>
      <c r="G192" s="86"/>
      <c r="H192" s="86"/>
      <c r="I192" s="83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 spans="1:26" ht="12" customHeight="1" x14ac:dyDescent="0.25">
      <c r="A193" s="86"/>
      <c r="B193" s="86"/>
      <c r="C193" s="86"/>
      <c r="D193" s="86"/>
      <c r="E193" s="86"/>
      <c r="F193" s="86"/>
      <c r="G193" s="86"/>
      <c r="H193" s="86"/>
      <c r="I193" s="83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 spans="1:26" ht="12" customHeight="1" x14ac:dyDescent="0.25">
      <c r="A194" s="86"/>
      <c r="B194" s="86"/>
      <c r="C194" s="86"/>
      <c r="D194" s="86"/>
      <c r="E194" s="86"/>
      <c r="F194" s="86"/>
      <c r="G194" s="86"/>
      <c r="H194" s="86"/>
      <c r="I194" s="83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 spans="1:26" ht="12" customHeight="1" x14ac:dyDescent="0.25">
      <c r="A195" s="86"/>
      <c r="B195" s="86"/>
      <c r="C195" s="86"/>
      <c r="D195" s="86"/>
      <c r="E195" s="86"/>
      <c r="F195" s="86"/>
      <c r="G195" s="86"/>
      <c r="H195" s="86"/>
      <c r="I195" s="83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 spans="1:26" ht="12" customHeight="1" x14ac:dyDescent="0.25">
      <c r="A196" s="86"/>
      <c r="B196" s="86"/>
      <c r="C196" s="86"/>
      <c r="D196" s="86"/>
      <c r="E196" s="86"/>
      <c r="F196" s="86"/>
      <c r="G196" s="86"/>
      <c r="H196" s="86"/>
      <c r="I196" s="83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 spans="1:26" ht="12" customHeight="1" x14ac:dyDescent="0.25">
      <c r="A197" s="86"/>
      <c r="B197" s="86"/>
      <c r="C197" s="86"/>
      <c r="D197" s="86"/>
      <c r="E197" s="86"/>
      <c r="F197" s="86"/>
      <c r="G197" s="86"/>
      <c r="H197" s="86"/>
      <c r="I197" s="83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 spans="1:26" ht="12" customHeight="1" x14ac:dyDescent="0.25">
      <c r="A198" s="86"/>
      <c r="B198" s="86"/>
      <c r="C198" s="86"/>
      <c r="D198" s="86"/>
      <c r="E198" s="86"/>
      <c r="F198" s="86"/>
      <c r="G198" s="86"/>
      <c r="H198" s="86"/>
      <c r="I198" s="83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 spans="1:26" ht="12" customHeight="1" x14ac:dyDescent="0.25">
      <c r="A199" s="86"/>
      <c r="B199" s="86"/>
      <c r="C199" s="86"/>
      <c r="D199" s="86"/>
      <c r="E199" s="86"/>
      <c r="F199" s="86"/>
      <c r="G199" s="86"/>
      <c r="H199" s="86"/>
      <c r="I199" s="83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 spans="1:26" ht="12" customHeight="1" x14ac:dyDescent="0.25">
      <c r="A200" s="86"/>
      <c r="B200" s="86"/>
      <c r="C200" s="86"/>
      <c r="D200" s="86"/>
      <c r="E200" s="86"/>
      <c r="F200" s="86"/>
      <c r="G200" s="86"/>
      <c r="H200" s="86"/>
      <c r="I200" s="83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 spans="1:26" ht="12" customHeight="1" x14ac:dyDescent="0.25">
      <c r="A201" s="86"/>
      <c r="B201" s="86"/>
      <c r="C201" s="86"/>
      <c r="D201" s="86"/>
      <c r="E201" s="86"/>
      <c r="F201" s="86"/>
      <c r="G201" s="86"/>
      <c r="H201" s="86"/>
      <c r="I201" s="83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 spans="1:26" ht="12" customHeight="1" x14ac:dyDescent="0.25">
      <c r="A202" s="86"/>
      <c r="B202" s="86"/>
      <c r="C202" s="86"/>
      <c r="D202" s="86"/>
      <c r="E202" s="86"/>
      <c r="F202" s="86"/>
      <c r="G202" s="86"/>
      <c r="H202" s="86"/>
      <c r="I202" s="83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 spans="1:26" ht="12" customHeight="1" x14ac:dyDescent="0.25">
      <c r="A203" s="86"/>
      <c r="B203" s="86"/>
      <c r="C203" s="86"/>
      <c r="D203" s="86"/>
      <c r="E203" s="86"/>
      <c r="F203" s="86"/>
      <c r="G203" s="86"/>
      <c r="H203" s="86"/>
      <c r="I203" s="83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 spans="1:26" ht="12" customHeight="1" x14ac:dyDescent="0.25">
      <c r="A204" s="86"/>
      <c r="B204" s="86"/>
      <c r="C204" s="86"/>
      <c r="D204" s="86"/>
      <c r="E204" s="86"/>
      <c r="F204" s="86"/>
      <c r="G204" s="86"/>
      <c r="H204" s="86"/>
      <c r="I204" s="83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 spans="1:26" ht="12" customHeight="1" x14ac:dyDescent="0.25">
      <c r="A205" s="86"/>
      <c r="B205" s="86"/>
      <c r="C205" s="86"/>
      <c r="D205" s="86"/>
      <c r="E205" s="86"/>
      <c r="F205" s="86"/>
      <c r="G205" s="86"/>
      <c r="H205" s="86"/>
      <c r="I205" s="83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 spans="1:26" ht="12" customHeight="1" x14ac:dyDescent="0.25">
      <c r="A206" s="86"/>
      <c r="B206" s="86"/>
      <c r="C206" s="86"/>
      <c r="D206" s="86"/>
      <c r="E206" s="86"/>
      <c r="F206" s="86"/>
      <c r="G206" s="86"/>
      <c r="H206" s="86"/>
      <c r="I206" s="83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 spans="1:26" ht="12" customHeight="1" x14ac:dyDescent="0.25">
      <c r="A207" s="86"/>
      <c r="B207" s="86"/>
      <c r="C207" s="86"/>
      <c r="D207" s="86"/>
      <c r="E207" s="86"/>
      <c r="F207" s="86"/>
      <c r="G207" s="86"/>
      <c r="H207" s="86"/>
      <c r="I207" s="83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 spans="1:26" ht="12" customHeight="1" x14ac:dyDescent="0.25">
      <c r="A208" s="86"/>
      <c r="B208" s="86"/>
      <c r="C208" s="86"/>
      <c r="D208" s="86"/>
      <c r="E208" s="86"/>
      <c r="F208" s="86"/>
      <c r="G208" s="86"/>
      <c r="H208" s="86"/>
      <c r="I208" s="83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 spans="1:26" ht="12" customHeight="1" x14ac:dyDescent="0.25">
      <c r="A209" s="86"/>
      <c r="B209" s="86"/>
      <c r="C209" s="86"/>
      <c r="D209" s="86"/>
      <c r="E209" s="86"/>
      <c r="F209" s="86"/>
      <c r="G209" s="86"/>
      <c r="H209" s="86"/>
      <c r="I209" s="83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 spans="1:26" ht="12" customHeight="1" x14ac:dyDescent="0.25">
      <c r="A210" s="86"/>
      <c r="B210" s="86"/>
      <c r="C210" s="86"/>
      <c r="D210" s="86"/>
      <c r="E210" s="86"/>
      <c r="F210" s="86"/>
      <c r="G210" s="86"/>
      <c r="H210" s="86"/>
      <c r="I210" s="83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 spans="1:26" ht="12" customHeight="1" x14ac:dyDescent="0.25">
      <c r="A211" s="86"/>
      <c r="B211" s="86"/>
      <c r="C211" s="86"/>
      <c r="D211" s="86"/>
      <c r="E211" s="86"/>
      <c r="F211" s="86"/>
      <c r="G211" s="86"/>
      <c r="H211" s="86"/>
      <c r="I211" s="83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 spans="1:26" ht="12" customHeight="1" x14ac:dyDescent="0.25">
      <c r="A212" s="86"/>
      <c r="B212" s="86"/>
      <c r="C212" s="86"/>
      <c r="D212" s="86"/>
      <c r="E212" s="86"/>
      <c r="F212" s="86"/>
      <c r="G212" s="86"/>
      <c r="H212" s="86"/>
      <c r="I212" s="83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 spans="1:26" ht="12" customHeight="1" x14ac:dyDescent="0.25">
      <c r="A213" s="86"/>
      <c r="B213" s="86"/>
      <c r="C213" s="86"/>
      <c r="D213" s="86"/>
      <c r="E213" s="86"/>
      <c r="F213" s="86"/>
      <c r="G213" s="86"/>
      <c r="H213" s="86"/>
      <c r="I213" s="83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 spans="1:26" ht="12" customHeight="1" x14ac:dyDescent="0.25">
      <c r="A214" s="86"/>
      <c r="B214" s="86"/>
      <c r="C214" s="86"/>
      <c r="D214" s="86"/>
      <c r="E214" s="86"/>
      <c r="F214" s="86"/>
      <c r="G214" s="86"/>
      <c r="H214" s="86"/>
      <c r="I214" s="83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 spans="1:26" ht="12" customHeight="1" x14ac:dyDescent="0.25">
      <c r="A215" s="86"/>
      <c r="B215" s="86"/>
      <c r="C215" s="86"/>
      <c r="D215" s="86"/>
      <c r="E215" s="86"/>
      <c r="F215" s="86"/>
      <c r="G215" s="86"/>
      <c r="H215" s="86"/>
      <c r="I215" s="83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 spans="1:26" ht="12" customHeight="1" x14ac:dyDescent="0.25">
      <c r="A216" s="86"/>
      <c r="B216" s="86"/>
      <c r="C216" s="86"/>
      <c r="D216" s="86"/>
      <c r="E216" s="86"/>
      <c r="F216" s="86"/>
      <c r="G216" s="86"/>
      <c r="H216" s="86"/>
      <c r="I216" s="83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 spans="1:26" ht="12" customHeight="1" x14ac:dyDescent="0.25">
      <c r="A217" s="86"/>
      <c r="B217" s="86"/>
      <c r="C217" s="86"/>
      <c r="D217" s="86"/>
      <c r="E217" s="86"/>
      <c r="F217" s="86"/>
      <c r="G217" s="86"/>
      <c r="H217" s="86"/>
      <c r="I217" s="83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 spans="1:26" ht="12" customHeight="1" x14ac:dyDescent="0.25">
      <c r="A218" s="86"/>
      <c r="B218" s="86"/>
      <c r="C218" s="86"/>
      <c r="D218" s="86"/>
      <c r="E218" s="86"/>
      <c r="F218" s="86"/>
      <c r="G218" s="86"/>
      <c r="H218" s="86"/>
      <c r="I218" s="83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 spans="1:26" ht="12" customHeight="1" x14ac:dyDescent="0.25">
      <c r="A219" s="86"/>
      <c r="B219" s="86"/>
      <c r="C219" s="86"/>
      <c r="D219" s="86"/>
      <c r="E219" s="86"/>
      <c r="F219" s="86"/>
      <c r="G219" s="86"/>
      <c r="H219" s="86"/>
      <c r="I219" s="83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 spans="1:26" ht="12" customHeight="1" x14ac:dyDescent="0.25">
      <c r="A220" s="86"/>
      <c r="B220" s="86"/>
      <c r="C220" s="86"/>
      <c r="D220" s="86"/>
      <c r="E220" s="86"/>
      <c r="F220" s="86"/>
      <c r="G220" s="86"/>
      <c r="H220" s="86"/>
      <c r="I220" s="83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 spans="1:26" ht="12" customHeight="1" x14ac:dyDescent="0.25">
      <c r="A221" s="86"/>
      <c r="B221" s="86"/>
      <c r="C221" s="86"/>
      <c r="D221" s="86"/>
      <c r="E221" s="86"/>
      <c r="F221" s="86"/>
      <c r="G221" s="86"/>
      <c r="H221" s="86"/>
      <c r="I221" s="83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 spans="1:26" ht="12" customHeight="1" x14ac:dyDescent="0.25">
      <c r="A222" s="86"/>
      <c r="B222" s="86"/>
      <c r="C222" s="86"/>
      <c r="D222" s="86"/>
      <c r="E222" s="86"/>
      <c r="F222" s="86"/>
      <c r="G222" s="86"/>
      <c r="H222" s="86"/>
      <c r="I222" s="83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 spans="1:26" ht="12" customHeight="1" x14ac:dyDescent="0.25">
      <c r="A223" s="86"/>
      <c r="B223" s="86"/>
      <c r="C223" s="86"/>
      <c r="D223" s="86"/>
      <c r="E223" s="86"/>
      <c r="F223" s="86"/>
      <c r="G223" s="86"/>
      <c r="H223" s="86"/>
      <c r="I223" s="83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 spans="1:26" ht="12" customHeight="1" x14ac:dyDescent="0.25">
      <c r="A224" s="86"/>
      <c r="B224" s="86"/>
      <c r="C224" s="86"/>
      <c r="D224" s="86"/>
      <c r="E224" s="86"/>
      <c r="F224" s="86"/>
      <c r="G224" s="86"/>
      <c r="H224" s="86"/>
      <c r="I224" s="83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 spans="1:26" ht="12" customHeight="1" x14ac:dyDescent="0.25">
      <c r="A225" s="86"/>
      <c r="B225" s="86"/>
      <c r="C225" s="86"/>
      <c r="D225" s="86"/>
      <c r="E225" s="86"/>
      <c r="F225" s="86"/>
      <c r="G225" s="86"/>
      <c r="H225" s="86"/>
      <c r="I225" s="83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 spans="1:26" ht="12" customHeight="1" x14ac:dyDescent="0.25">
      <c r="A226" s="86"/>
      <c r="B226" s="86"/>
      <c r="C226" s="86"/>
      <c r="D226" s="86"/>
      <c r="E226" s="86"/>
      <c r="F226" s="86"/>
      <c r="G226" s="86"/>
      <c r="H226" s="86"/>
      <c r="I226" s="83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 spans="1:26" ht="12" customHeight="1" x14ac:dyDescent="0.25">
      <c r="A227" s="86"/>
      <c r="B227" s="86"/>
      <c r="C227" s="86"/>
      <c r="D227" s="86"/>
      <c r="E227" s="86"/>
      <c r="F227" s="86"/>
      <c r="G227" s="86"/>
      <c r="H227" s="86"/>
      <c r="I227" s="83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 spans="1:26" ht="12" customHeight="1" x14ac:dyDescent="0.25">
      <c r="A228" s="86"/>
      <c r="B228" s="86"/>
      <c r="C228" s="86"/>
      <c r="D228" s="86"/>
      <c r="E228" s="86"/>
      <c r="F228" s="86"/>
      <c r="G228" s="86"/>
      <c r="H228" s="86"/>
      <c r="I228" s="83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 spans="1:26" ht="15.75" customHeight="1" x14ac:dyDescent="0.25"/>
    <row r="230" spans="1:26" ht="15.75" customHeight="1" x14ac:dyDescent="0.25"/>
    <row r="231" spans="1:26" ht="15.75" customHeight="1" x14ac:dyDescent="0.25"/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phoneticPr fontId="12" type="noConversion"/>
  <pageMargins left="0.59055118110236227" right="0.19685039370078741" top="0.59055118110236227" bottom="0.74803149606299213" header="0" footer="0"/>
  <pageSetup scale="75"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Z1001"/>
  <sheetViews>
    <sheetView zoomScale="120" zoomScaleNormal="120" workbookViewId="0">
      <selection activeCell="G7" sqref="G7"/>
    </sheetView>
  </sheetViews>
  <sheetFormatPr baseColWidth="10" defaultColWidth="14.42578125" defaultRowHeight="15" customHeight="1" x14ac:dyDescent="0.25"/>
  <cols>
    <col min="1" max="1" width="10.28515625" customWidth="1"/>
    <col min="2" max="2" width="12.7109375" customWidth="1"/>
    <col min="3" max="3" width="13.42578125" customWidth="1"/>
    <col min="4" max="4" width="26.7109375" customWidth="1"/>
    <col min="5" max="5" width="20.140625" customWidth="1"/>
    <col min="6" max="6" width="19.140625" customWidth="1"/>
    <col min="7" max="7" width="20" customWidth="1"/>
    <col min="8" max="8" width="18" customWidth="1"/>
    <col min="9" max="9" width="26.42578125" customWidth="1"/>
    <col min="10" max="26" width="10.7109375" customWidth="1"/>
  </cols>
  <sheetData>
    <row r="1" spans="1:26" ht="62.25" customHeight="1" x14ac:dyDescent="0.25">
      <c r="A1" s="86"/>
      <c r="B1" s="86"/>
      <c r="C1" s="86"/>
      <c r="D1" s="86"/>
      <c r="E1" s="86"/>
      <c r="F1" s="86"/>
      <c r="G1" s="86"/>
      <c r="H1" s="86"/>
      <c r="I1" s="83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 spans="1:26" ht="12" customHeight="1" x14ac:dyDescent="0.25">
      <c r="A2" s="2" t="s">
        <v>155</v>
      </c>
      <c r="B2" s="2" t="s">
        <v>0</v>
      </c>
      <c r="C2" s="86"/>
      <c r="D2" s="86"/>
      <c r="E2" s="86"/>
      <c r="F2" s="86"/>
      <c r="G2" s="86"/>
      <c r="H2" s="86"/>
      <c r="I2" s="83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spans="1:26" ht="12" customHeight="1" x14ac:dyDescent="0.25">
      <c r="A3" s="2" t="s">
        <v>156</v>
      </c>
      <c r="B3" s="2" t="s">
        <v>244</v>
      </c>
      <c r="C3" s="86"/>
      <c r="D3" s="86"/>
      <c r="E3" s="86"/>
      <c r="F3" s="86"/>
      <c r="G3" s="86"/>
      <c r="H3" s="86"/>
      <c r="I3" s="83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spans="1:26" ht="12" customHeight="1" x14ac:dyDescent="0.25">
      <c r="A4" s="2" t="s">
        <v>158</v>
      </c>
      <c r="B4" s="75" t="s">
        <v>326</v>
      </c>
      <c r="C4" s="86"/>
      <c r="D4" s="86"/>
      <c r="E4" s="86"/>
      <c r="F4" s="86"/>
      <c r="G4" s="86"/>
      <c r="H4" s="86"/>
      <c r="I4" s="83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spans="1:26" ht="12" customHeight="1" x14ac:dyDescent="0.25">
      <c r="A5" s="2"/>
      <c r="B5" s="75"/>
      <c r="C5" s="86"/>
      <c r="D5" s="86"/>
      <c r="E5" s="86"/>
      <c r="F5" s="86"/>
      <c r="G5" s="86"/>
      <c r="H5" s="86"/>
      <c r="I5" s="83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spans="1:26" ht="12" customHeight="1" x14ac:dyDescent="0.25">
      <c r="A6" s="2"/>
      <c r="B6" s="75" t="s">
        <v>162</v>
      </c>
      <c r="C6" s="86"/>
      <c r="D6" s="113" t="s">
        <v>226</v>
      </c>
      <c r="E6" s="86"/>
      <c r="F6" s="86"/>
      <c r="G6" s="86"/>
      <c r="H6" s="86"/>
      <c r="I6" s="83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spans="1:26" ht="12" customHeight="1" x14ac:dyDescent="0.25">
      <c r="A7" s="2"/>
      <c r="B7" s="5" t="s">
        <v>245</v>
      </c>
      <c r="C7" s="86"/>
      <c r="D7" s="87">
        <v>5850000</v>
      </c>
      <c r="E7" s="86"/>
      <c r="F7" s="86"/>
      <c r="G7" s="86"/>
      <c r="H7" s="86"/>
      <c r="I7" s="83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spans="1:26" ht="12" customHeight="1" x14ac:dyDescent="0.25">
      <c r="A8" s="2"/>
      <c r="B8" s="75" t="s">
        <v>15</v>
      </c>
      <c r="C8" s="86"/>
      <c r="D8" s="90">
        <v>3510000</v>
      </c>
      <c r="E8" s="86"/>
      <c r="F8" s="86"/>
      <c r="G8" s="86"/>
      <c r="H8" s="86"/>
      <c r="I8" s="83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spans="1:26" ht="12" customHeight="1" x14ac:dyDescent="0.25">
      <c r="A9" s="2"/>
      <c r="B9" s="78" t="s">
        <v>163</v>
      </c>
      <c r="C9" s="116"/>
      <c r="D9" s="100">
        <f>+D7-D8</f>
        <v>2340000</v>
      </c>
      <c r="E9" s="86"/>
      <c r="F9" s="86"/>
      <c r="G9" s="86"/>
      <c r="H9" s="86"/>
      <c r="I9" s="83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 spans="1:26" ht="12" customHeight="1" x14ac:dyDescent="0.25">
      <c r="A10" s="2"/>
      <c r="B10" s="5" t="s">
        <v>191</v>
      </c>
      <c r="C10" s="86"/>
      <c r="D10" s="87">
        <f>+D7*5%</f>
        <v>292500</v>
      </c>
      <c r="E10" s="86"/>
      <c r="F10" s="86"/>
      <c r="G10" s="86"/>
      <c r="H10" s="86"/>
      <c r="I10" s="83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spans="1:26" ht="12" customHeight="1" x14ac:dyDescent="0.25">
      <c r="A11" s="2"/>
      <c r="B11" s="78" t="s">
        <v>164</v>
      </c>
      <c r="C11" s="116"/>
      <c r="D11" s="100">
        <f>+D9-D10</f>
        <v>2047500</v>
      </c>
      <c r="E11" s="86"/>
      <c r="F11" s="86"/>
      <c r="G11" s="86"/>
      <c r="H11" s="86"/>
      <c r="I11" s="83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spans="1:26" ht="12" customHeight="1" x14ac:dyDescent="0.25">
      <c r="A12" s="2"/>
      <c r="B12" s="75"/>
      <c r="C12" s="86"/>
      <c r="D12" s="115"/>
      <c r="E12" s="86"/>
      <c r="F12" s="86"/>
      <c r="G12" s="86"/>
      <c r="H12" s="86"/>
      <c r="I12" s="83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spans="1:26" ht="12" customHeight="1" x14ac:dyDescent="0.25">
      <c r="A13" s="86"/>
      <c r="B13" s="86"/>
      <c r="C13" s="86"/>
      <c r="D13" s="86"/>
      <c r="E13" s="86"/>
      <c r="F13" s="86"/>
      <c r="G13" s="86"/>
      <c r="H13" s="86"/>
      <c r="I13" s="83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spans="1:26" ht="27.75" customHeight="1" x14ac:dyDescent="0.25">
      <c r="A14" s="81" t="s">
        <v>4</v>
      </c>
      <c r="B14" s="81" t="s">
        <v>165</v>
      </c>
      <c r="C14" s="81" t="s">
        <v>166</v>
      </c>
      <c r="D14" s="81" t="s">
        <v>160</v>
      </c>
      <c r="E14" s="81" t="s">
        <v>9</v>
      </c>
      <c r="F14" s="81" t="s">
        <v>8</v>
      </c>
      <c r="G14" s="82" t="s">
        <v>167</v>
      </c>
      <c r="H14" s="82" t="s">
        <v>168</v>
      </c>
      <c r="I14" s="81" t="s">
        <v>215</v>
      </c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spans="1:26" ht="15" customHeight="1" x14ac:dyDescent="0.25">
      <c r="A15" s="91">
        <v>1</v>
      </c>
      <c r="B15" s="84">
        <v>45817</v>
      </c>
      <c r="C15" s="83">
        <v>4182</v>
      </c>
      <c r="D15" s="83" t="s">
        <v>246</v>
      </c>
      <c r="E15" s="87">
        <v>153017.84</v>
      </c>
      <c r="F15" s="87">
        <v>0</v>
      </c>
      <c r="G15" s="87">
        <v>153017.84</v>
      </c>
      <c r="H15" s="104"/>
      <c r="I15" s="91" t="s">
        <v>233</v>
      </c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spans="1:26" ht="12" customHeight="1" x14ac:dyDescent="0.25">
      <c r="A16" s="83">
        <v>2</v>
      </c>
      <c r="B16" s="84">
        <v>45837</v>
      </c>
      <c r="C16" s="83">
        <v>4213</v>
      </c>
      <c r="D16" s="83" t="s">
        <v>247</v>
      </c>
      <c r="E16" s="87">
        <v>153017.84</v>
      </c>
      <c r="F16" s="87">
        <v>0</v>
      </c>
      <c r="G16" s="87">
        <v>153017.84</v>
      </c>
      <c r="H16" s="86"/>
      <c r="I16" s="91" t="s">
        <v>248</v>
      </c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spans="1:26" ht="15" customHeight="1" x14ac:dyDescent="0.25">
      <c r="A17" s="91">
        <v>3</v>
      </c>
      <c r="B17" s="84">
        <v>45814</v>
      </c>
      <c r="C17" s="83">
        <v>4223</v>
      </c>
      <c r="D17" s="91" t="s">
        <v>249</v>
      </c>
      <c r="E17" s="87">
        <v>153017.84</v>
      </c>
      <c r="F17" s="87">
        <v>0</v>
      </c>
      <c r="G17" s="87">
        <v>153017.84</v>
      </c>
      <c r="H17" s="104"/>
      <c r="I17" s="91" t="s">
        <v>250</v>
      </c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spans="1:26" ht="15" customHeight="1" x14ac:dyDescent="0.25">
      <c r="A18" s="83">
        <v>4</v>
      </c>
      <c r="B18" s="84">
        <v>45850</v>
      </c>
      <c r="C18" s="83">
        <v>4231</v>
      </c>
      <c r="D18" s="83" t="s">
        <v>251</v>
      </c>
      <c r="E18" s="87">
        <v>153017.84</v>
      </c>
      <c r="F18" s="87">
        <v>0</v>
      </c>
      <c r="G18" s="87">
        <v>153017.84</v>
      </c>
      <c r="H18" s="104"/>
      <c r="I18" s="91" t="s">
        <v>252</v>
      </c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spans="1:26" ht="15" customHeight="1" x14ac:dyDescent="0.25">
      <c r="A19" s="91">
        <v>5</v>
      </c>
      <c r="B19" s="84">
        <v>45858</v>
      </c>
      <c r="C19" s="83">
        <v>4234</v>
      </c>
      <c r="D19" s="91" t="s">
        <v>253</v>
      </c>
      <c r="E19" s="87">
        <v>153017.84</v>
      </c>
      <c r="F19" s="87">
        <v>0</v>
      </c>
      <c r="G19" s="87">
        <v>153017.84</v>
      </c>
      <c r="H19" s="104"/>
      <c r="I19" s="91" t="s">
        <v>254</v>
      </c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 ht="15" customHeight="1" x14ac:dyDescent="0.25">
      <c r="A20" s="83">
        <v>6</v>
      </c>
      <c r="B20" s="84">
        <v>45870</v>
      </c>
      <c r="C20" s="83">
        <v>4249</v>
      </c>
      <c r="D20" s="83" t="s">
        <v>255</v>
      </c>
      <c r="E20" s="87">
        <v>153017.84</v>
      </c>
      <c r="F20" s="87">
        <v>0</v>
      </c>
      <c r="G20" s="87">
        <v>153017.84</v>
      </c>
      <c r="H20" s="104"/>
      <c r="I20" s="91" t="s">
        <v>256</v>
      </c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spans="1:26" ht="15" customHeight="1" x14ac:dyDescent="0.25">
      <c r="A21" s="91">
        <v>7</v>
      </c>
      <c r="B21" s="84">
        <v>45898</v>
      </c>
      <c r="C21" s="83">
        <v>4291</v>
      </c>
      <c r="D21" s="91" t="s">
        <v>257</v>
      </c>
      <c r="E21" s="87">
        <v>87709.48</v>
      </c>
      <c r="F21" s="87">
        <v>0</v>
      </c>
      <c r="G21" s="87">
        <v>87709.48</v>
      </c>
      <c r="H21" s="104"/>
      <c r="I21" s="91" t="s">
        <v>258</v>
      </c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spans="1:26" ht="15" customHeight="1" x14ac:dyDescent="0.25">
      <c r="A22" s="101"/>
      <c r="B22" s="101"/>
      <c r="C22" s="101"/>
      <c r="D22" s="101"/>
      <c r="E22" s="103">
        <f t="shared" ref="E22:G22" si="0">SUM(E15:E21)</f>
        <v>1005816.5199999999</v>
      </c>
      <c r="F22" s="103">
        <f t="shared" si="0"/>
        <v>0</v>
      </c>
      <c r="G22" s="103">
        <f t="shared" si="0"/>
        <v>1005816.5199999999</v>
      </c>
      <c r="H22" s="104"/>
      <c r="I22" s="101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spans="1:26" ht="15" customHeight="1" x14ac:dyDescent="0.25">
      <c r="A23" s="101"/>
      <c r="B23" s="101"/>
      <c r="C23" s="101"/>
      <c r="D23" s="101"/>
      <c r="E23" s="104"/>
      <c r="F23" s="104"/>
      <c r="G23" s="104"/>
      <c r="H23" s="104"/>
      <c r="I23" s="101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spans="1:26" ht="15" customHeight="1" x14ac:dyDescent="0.25">
      <c r="A24" s="86"/>
      <c r="B24" s="86"/>
      <c r="C24" s="86"/>
      <c r="D24" s="86"/>
      <c r="E24" s="86"/>
      <c r="F24" s="86"/>
      <c r="G24" s="86" t="s">
        <v>219</v>
      </c>
      <c r="H24" s="86"/>
      <c r="I24" s="83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spans="1:26" ht="15" customHeight="1" x14ac:dyDescent="0.25">
      <c r="A25" s="86"/>
      <c r="B25" s="86"/>
      <c r="C25" s="86"/>
      <c r="D25" s="86"/>
      <c r="E25" s="86"/>
      <c r="F25" s="86"/>
      <c r="G25" s="86"/>
      <c r="H25" s="86"/>
      <c r="I25" s="83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spans="1:26" ht="15" customHeight="1" x14ac:dyDescent="0.25">
      <c r="A26" s="86"/>
      <c r="B26" s="86"/>
      <c r="C26" s="86"/>
      <c r="D26" s="86"/>
      <c r="E26" s="86"/>
      <c r="F26" s="86"/>
      <c r="G26" s="86" t="s">
        <v>243</v>
      </c>
      <c r="H26" s="86"/>
      <c r="I26" s="83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spans="1:26" ht="12" customHeight="1" x14ac:dyDescent="0.25">
      <c r="A27" s="86"/>
      <c r="B27" s="86"/>
      <c r="C27" s="86"/>
      <c r="D27" s="86"/>
      <c r="E27" s="86"/>
      <c r="F27" s="86"/>
      <c r="G27" s="86"/>
      <c r="H27" s="86"/>
      <c r="I27" s="83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spans="1:26" ht="12" customHeight="1" x14ac:dyDescent="0.25">
      <c r="A28" s="86"/>
      <c r="B28" s="86"/>
      <c r="C28" s="86"/>
      <c r="D28" s="86"/>
      <c r="E28" s="86"/>
      <c r="F28" s="86"/>
      <c r="G28" s="86"/>
      <c r="H28" s="86"/>
      <c r="I28" s="83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spans="1:26" ht="12" customHeight="1" x14ac:dyDescent="0.25">
      <c r="A29" s="86"/>
      <c r="B29" s="86"/>
      <c r="C29" s="86"/>
      <c r="D29" s="86"/>
      <c r="E29" s="86"/>
      <c r="F29" s="86"/>
      <c r="G29" s="86"/>
      <c r="H29" s="86"/>
      <c r="I29" s="83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spans="1:26" ht="12" customHeight="1" x14ac:dyDescent="0.25">
      <c r="A30" s="86"/>
      <c r="B30" s="86"/>
      <c r="C30" s="86"/>
      <c r="D30" s="86"/>
      <c r="E30" s="86"/>
      <c r="F30" s="86"/>
      <c r="G30" s="86"/>
      <c r="H30" s="86"/>
      <c r="I30" s="83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spans="1:26" ht="12" customHeight="1" x14ac:dyDescent="0.25">
      <c r="A31" s="86"/>
      <c r="B31" s="86"/>
      <c r="C31" s="86"/>
      <c r="D31" s="86"/>
      <c r="E31" s="86"/>
      <c r="F31" s="86"/>
      <c r="G31" s="86"/>
      <c r="H31" s="86"/>
      <c r="I31" s="83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spans="1:26" ht="12" customHeight="1" x14ac:dyDescent="0.25">
      <c r="A32" s="86"/>
      <c r="B32" s="86"/>
      <c r="C32" s="86"/>
      <c r="D32" s="86"/>
      <c r="E32" s="86"/>
      <c r="F32" s="86"/>
      <c r="G32" s="86"/>
      <c r="H32" s="86"/>
      <c r="I32" s="83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spans="1:26" ht="12" customHeight="1" x14ac:dyDescent="0.25">
      <c r="A33" s="86"/>
      <c r="B33" s="86"/>
      <c r="C33" s="86"/>
      <c r="D33" s="86"/>
      <c r="E33" s="86"/>
      <c r="F33" s="86"/>
      <c r="G33" s="86"/>
      <c r="H33" s="86"/>
      <c r="I33" s="83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spans="1:26" ht="12" customHeight="1" x14ac:dyDescent="0.25">
      <c r="A34" s="86"/>
      <c r="B34" s="86"/>
      <c r="C34" s="86"/>
      <c r="D34" s="86"/>
      <c r="E34" s="86"/>
      <c r="F34" s="86"/>
      <c r="G34" s="86"/>
      <c r="H34" s="86"/>
      <c r="I34" s="83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spans="1:26" ht="12" customHeight="1" x14ac:dyDescent="0.25">
      <c r="A35" s="86"/>
      <c r="B35" s="86"/>
      <c r="C35" s="86"/>
      <c r="D35" s="86"/>
      <c r="E35" s="86"/>
      <c r="F35" s="86"/>
      <c r="G35" s="86"/>
      <c r="H35" s="86"/>
      <c r="I35" s="83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spans="1:26" ht="12" customHeight="1" x14ac:dyDescent="0.25">
      <c r="A36" s="86"/>
      <c r="B36" s="86"/>
      <c r="C36" s="86"/>
      <c r="D36" s="86"/>
      <c r="E36" s="86"/>
      <c r="F36" s="86"/>
      <c r="G36" s="86"/>
      <c r="H36" s="86"/>
      <c r="I36" s="83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spans="1:26" ht="12" customHeight="1" x14ac:dyDescent="0.25">
      <c r="A37" s="86"/>
      <c r="B37" s="86"/>
      <c r="C37" s="86"/>
      <c r="D37" s="86"/>
      <c r="E37" s="86"/>
      <c r="F37" s="86"/>
      <c r="G37" s="86"/>
      <c r="H37" s="86"/>
      <c r="I37" s="83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spans="1:26" ht="12" customHeight="1" x14ac:dyDescent="0.25">
      <c r="A38" s="86"/>
      <c r="B38" s="86"/>
      <c r="C38" s="86"/>
      <c r="D38" s="86"/>
      <c r="E38" s="86"/>
      <c r="F38" s="86"/>
      <c r="G38" s="86"/>
      <c r="H38" s="86"/>
      <c r="I38" s="83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spans="1:26" ht="12" customHeight="1" x14ac:dyDescent="0.25">
      <c r="A39" s="86"/>
      <c r="B39" s="86"/>
      <c r="C39" s="86"/>
      <c r="D39" s="86"/>
      <c r="E39" s="86"/>
      <c r="F39" s="86"/>
      <c r="G39" s="86"/>
      <c r="H39" s="86"/>
      <c r="I39" s="83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spans="1:26" ht="12" customHeight="1" x14ac:dyDescent="0.25">
      <c r="A40" s="86"/>
      <c r="B40" s="86"/>
      <c r="C40" s="86"/>
      <c r="D40" s="86"/>
      <c r="E40" s="86"/>
      <c r="F40" s="86"/>
      <c r="G40" s="86"/>
      <c r="H40" s="86"/>
      <c r="I40" s="83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spans="1:26" ht="12" customHeight="1" x14ac:dyDescent="0.25">
      <c r="A41" s="86"/>
      <c r="B41" s="86"/>
      <c r="C41" s="86"/>
      <c r="D41" s="86"/>
      <c r="E41" s="86"/>
      <c r="F41" s="86"/>
      <c r="G41" s="86"/>
      <c r="H41" s="86"/>
      <c r="I41" s="83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spans="1:26" ht="12" customHeight="1" x14ac:dyDescent="0.25">
      <c r="A42" s="86"/>
      <c r="B42" s="86"/>
      <c r="C42" s="86"/>
      <c r="D42" s="86"/>
      <c r="E42" s="86"/>
      <c r="F42" s="86"/>
      <c r="G42" s="86"/>
      <c r="H42" s="86"/>
      <c r="I42" s="83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spans="1:26" ht="12" customHeight="1" x14ac:dyDescent="0.25">
      <c r="A43" s="86"/>
      <c r="B43" s="86"/>
      <c r="C43" s="86"/>
      <c r="D43" s="86"/>
      <c r="E43" s="86"/>
      <c r="F43" s="86"/>
      <c r="G43" s="86"/>
      <c r="H43" s="86"/>
      <c r="I43" s="83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spans="1:26" ht="12" customHeight="1" x14ac:dyDescent="0.25">
      <c r="A44" s="86"/>
      <c r="B44" s="86"/>
      <c r="C44" s="86"/>
      <c r="D44" s="86"/>
      <c r="E44" s="86"/>
      <c r="F44" s="86"/>
      <c r="G44" s="86"/>
      <c r="H44" s="86"/>
      <c r="I44" s="83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spans="1:26" ht="12" customHeight="1" x14ac:dyDescent="0.25">
      <c r="A45" s="86"/>
      <c r="B45" s="86"/>
      <c r="C45" s="86"/>
      <c r="D45" s="86"/>
      <c r="E45" s="86"/>
      <c r="F45" s="86"/>
      <c r="G45" s="86"/>
      <c r="H45" s="86"/>
      <c r="I45" s="83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spans="1:26" ht="12" customHeight="1" x14ac:dyDescent="0.25">
      <c r="A46" s="86"/>
      <c r="B46" s="86"/>
      <c r="C46" s="86"/>
      <c r="D46" s="86"/>
      <c r="E46" s="86"/>
      <c r="F46" s="86"/>
      <c r="G46" s="86"/>
      <c r="H46" s="86"/>
      <c r="I46" s="83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spans="1:26" ht="12" customHeight="1" x14ac:dyDescent="0.25">
      <c r="A47" s="86"/>
      <c r="B47" s="86"/>
      <c r="C47" s="86"/>
      <c r="D47" s="86"/>
      <c r="E47" s="86"/>
      <c r="F47" s="86"/>
      <c r="G47" s="86"/>
      <c r="H47" s="86"/>
      <c r="I47" s="83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spans="1:26" ht="12" customHeight="1" x14ac:dyDescent="0.25">
      <c r="A48" s="86"/>
      <c r="B48" s="86"/>
      <c r="C48" s="86"/>
      <c r="D48" s="86"/>
      <c r="E48" s="86"/>
      <c r="F48" s="86"/>
      <c r="G48" s="86"/>
      <c r="H48" s="86"/>
      <c r="I48" s="83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spans="1:26" ht="12" customHeight="1" x14ac:dyDescent="0.25">
      <c r="A49" s="86"/>
      <c r="B49" s="86"/>
      <c r="C49" s="86"/>
      <c r="D49" s="86"/>
      <c r="E49" s="86"/>
      <c r="F49" s="86"/>
      <c r="G49" s="86"/>
      <c r="H49" s="86"/>
      <c r="I49" s="83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spans="1:26" ht="12" customHeight="1" x14ac:dyDescent="0.25">
      <c r="A50" s="86"/>
      <c r="B50" s="86"/>
      <c r="C50" s="86"/>
      <c r="D50" s="86"/>
      <c r="E50" s="86"/>
      <c r="F50" s="86"/>
      <c r="G50" s="86"/>
      <c r="H50" s="86"/>
      <c r="I50" s="83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spans="1:26" ht="12" customHeight="1" x14ac:dyDescent="0.25">
      <c r="A51" s="86"/>
      <c r="B51" s="86"/>
      <c r="C51" s="86"/>
      <c r="D51" s="86"/>
      <c r="E51" s="86"/>
      <c r="F51" s="86"/>
      <c r="G51" s="86"/>
      <c r="H51" s="86"/>
      <c r="I51" s="83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spans="1:26" ht="12" customHeight="1" x14ac:dyDescent="0.25">
      <c r="A52" s="86"/>
      <c r="B52" s="86"/>
      <c r="C52" s="86"/>
      <c r="D52" s="86"/>
      <c r="E52" s="86"/>
      <c r="F52" s="86"/>
      <c r="G52" s="86"/>
      <c r="H52" s="86"/>
      <c r="I52" s="83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 spans="1:26" ht="12" customHeight="1" x14ac:dyDescent="0.25">
      <c r="A53" s="86"/>
      <c r="B53" s="86"/>
      <c r="C53" s="86"/>
      <c r="D53" s="86"/>
      <c r="E53" s="86"/>
      <c r="F53" s="86"/>
      <c r="G53" s="86"/>
      <c r="H53" s="86"/>
      <c r="I53" s="83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 spans="1:26" ht="12" customHeight="1" x14ac:dyDescent="0.25">
      <c r="A54" s="86"/>
      <c r="B54" s="86"/>
      <c r="C54" s="86"/>
      <c r="D54" s="86"/>
      <c r="E54" s="86"/>
      <c r="F54" s="86"/>
      <c r="G54" s="86"/>
      <c r="H54" s="86"/>
      <c r="I54" s="83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 spans="1:26" ht="12" customHeight="1" x14ac:dyDescent="0.25">
      <c r="A55" s="86"/>
      <c r="B55" s="86"/>
      <c r="C55" s="86"/>
      <c r="D55" s="86"/>
      <c r="E55" s="86"/>
      <c r="F55" s="86"/>
      <c r="G55" s="86"/>
      <c r="H55" s="86"/>
      <c r="I55" s="83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 spans="1:26" ht="12" customHeight="1" x14ac:dyDescent="0.25">
      <c r="A56" s="86"/>
      <c r="B56" s="86"/>
      <c r="C56" s="86"/>
      <c r="D56" s="86"/>
      <c r="E56" s="86"/>
      <c r="F56" s="86"/>
      <c r="G56" s="86"/>
      <c r="H56" s="86"/>
      <c r="I56" s="83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 spans="1:26" ht="12" customHeight="1" x14ac:dyDescent="0.25">
      <c r="A57" s="86"/>
      <c r="B57" s="86"/>
      <c r="C57" s="86"/>
      <c r="D57" s="86"/>
      <c r="E57" s="86"/>
      <c r="F57" s="86"/>
      <c r="G57" s="86"/>
      <c r="H57" s="86"/>
      <c r="I57" s="83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 spans="1:26" ht="12" customHeight="1" x14ac:dyDescent="0.25">
      <c r="A58" s="86"/>
      <c r="B58" s="86"/>
      <c r="C58" s="86"/>
      <c r="D58" s="86"/>
      <c r="E58" s="86"/>
      <c r="F58" s="86"/>
      <c r="G58" s="86"/>
      <c r="H58" s="86"/>
      <c r="I58" s="83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 spans="1:26" ht="12" customHeight="1" x14ac:dyDescent="0.25">
      <c r="A59" s="86"/>
      <c r="B59" s="86"/>
      <c r="C59" s="86"/>
      <c r="D59" s="86"/>
      <c r="E59" s="86"/>
      <c r="F59" s="86"/>
      <c r="G59" s="86"/>
      <c r="H59" s="86"/>
      <c r="I59" s="83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 spans="1:26" ht="12" customHeight="1" x14ac:dyDescent="0.25">
      <c r="A60" s="86"/>
      <c r="B60" s="86"/>
      <c r="C60" s="86"/>
      <c r="D60" s="86"/>
      <c r="E60" s="86"/>
      <c r="F60" s="86"/>
      <c r="G60" s="86"/>
      <c r="H60" s="86"/>
      <c r="I60" s="83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 spans="1:26" ht="12" customHeight="1" x14ac:dyDescent="0.25">
      <c r="A61" s="86"/>
      <c r="B61" s="86"/>
      <c r="C61" s="86"/>
      <c r="D61" s="86"/>
      <c r="E61" s="86"/>
      <c r="F61" s="86"/>
      <c r="G61" s="86"/>
      <c r="H61" s="86"/>
      <c r="I61" s="83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 spans="1:26" ht="12" customHeight="1" x14ac:dyDescent="0.25">
      <c r="A62" s="86"/>
      <c r="B62" s="86"/>
      <c r="C62" s="86"/>
      <c r="D62" s="86"/>
      <c r="E62" s="86"/>
      <c r="F62" s="86"/>
      <c r="G62" s="86"/>
      <c r="H62" s="86"/>
      <c r="I62" s="83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 spans="1:26" ht="12" customHeight="1" x14ac:dyDescent="0.25">
      <c r="A63" s="86"/>
      <c r="B63" s="86"/>
      <c r="C63" s="86"/>
      <c r="D63" s="86"/>
      <c r="E63" s="86"/>
      <c r="F63" s="86"/>
      <c r="G63" s="86"/>
      <c r="H63" s="86"/>
      <c r="I63" s="83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 spans="1:26" ht="12" customHeight="1" x14ac:dyDescent="0.25">
      <c r="A64" s="86"/>
      <c r="B64" s="86"/>
      <c r="C64" s="86"/>
      <c r="D64" s="86"/>
      <c r="E64" s="86"/>
      <c r="F64" s="86"/>
      <c r="G64" s="86"/>
      <c r="H64" s="86"/>
      <c r="I64" s="83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 spans="1:26" ht="12" customHeight="1" x14ac:dyDescent="0.25">
      <c r="A65" s="86"/>
      <c r="B65" s="86"/>
      <c r="C65" s="86"/>
      <c r="D65" s="86"/>
      <c r="E65" s="86"/>
      <c r="F65" s="86"/>
      <c r="G65" s="86"/>
      <c r="H65" s="86"/>
      <c r="I65" s="83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 spans="1:26" ht="12" customHeight="1" x14ac:dyDescent="0.25">
      <c r="A66" s="86"/>
      <c r="B66" s="86"/>
      <c r="C66" s="86"/>
      <c r="D66" s="86"/>
      <c r="E66" s="86"/>
      <c r="F66" s="86"/>
      <c r="G66" s="86"/>
      <c r="H66" s="86"/>
      <c r="I66" s="83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 spans="1:26" ht="12" customHeight="1" x14ac:dyDescent="0.25">
      <c r="A67" s="86"/>
      <c r="B67" s="86"/>
      <c r="C67" s="86"/>
      <c r="D67" s="86"/>
      <c r="E67" s="86"/>
      <c r="F67" s="86"/>
      <c r="G67" s="86"/>
      <c r="H67" s="86"/>
      <c r="I67" s="83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 spans="1:26" ht="12" customHeight="1" x14ac:dyDescent="0.25">
      <c r="A68" s="86"/>
      <c r="B68" s="86"/>
      <c r="C68" s="86"/>
      <c r="D68" s="86"/>
      <c r="E68" s="86"/>
      <c r="F68" s="86"/>
      <c r="G68" s="86"/>
      <c r="H68" s="86"/>
      <c r="I68" s="83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 spans="1:26" ht="12" customHeight="1" x14ac:dyDescent="0.25">
      <c r="A69" s="86"/>
      <c r="B69" s="86"/>
      <c r="C69" s="86"/>
      <c r="D69" s="86"/>
      <c r="E69" s="86"/>
      <c r="F69" s="86"/>
      <c r="G69" s="86"/>
      <c r="H69" s="86"/>
      <c r="I69" s="83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 spans="1:26" ht="12" customHeight="1" x14ac:dyDescent="0.25">
      <c r="A70" s="86"/>
      <c r="B70" s="86"/>
      <c r="C70" s="86"/>
      <c r="D70" s="86"/>
      <c r="E70" s="86"/>
      <c r="F70" s="86"/>
      <c r="G70" s="86"/>
      <c r="H70" s="86"/>
      <c r="I70" s="83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 spans="1:26" ht="12" customHeight="1" x14ac:dyDescent="0.25">
      <c r="A71" s="86"/>
      <c r="B71" s="86"/>
      <c r="C71" s="86"/>
      <c r="D71" s="86"/>
      <c r="E71" s="86"/>
      <c r="F71" s="86"/>
      <c r="G71" s="86"/>
      <c r="H71" s="86"/>
      <c r="I71" s="83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 spans="1:26" ht="12" customHeight="1" x14ac:dyDescent="0.25">
      <c r="A72" s="86"/>
      <c r="B72" s="86"/>
      <c r="C72" s="86"/>
      <c r="D72" s="86"/>
      <c r="E72" s="86"/>
      <c r="F72" s="86"/>
      <c r="G72" s="86"/>
      <c r="H72" s="86"/>
      <c r="I72" s="83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 spans="1:26" ht="12" customHeight="1" x14ac:dyDescent="0.25">
      <c r="A73" s="86"/>
      <c r="B73" s="86"/>
      <c r="C73" s="86"/>
      <c r="D73" s="86"/>
      <c r="E73" s="86"/>
      <c r="F73" s="86"/>
      <c r="G73" s="86"/>
      <c r="H73" s="86"/>
      <c r="I73" s="83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 spans="1:26" ht="12" customHeight="1" x14ac:dyDescent="0.25">
      <c r="A74" s="86"/>
      <c r="B74" s="86"/>
      <c r="C74" s="86"/>
      <c r="D74" s="86"/>
      <c r="E74" s="86"/>
      <c r="F74" s="86"/>
      <c r="G74" s="86"/>
      <c r="H74" s="86"/>
      <c r="I74" s="83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 spans="1:26" ht="12" customHeight="1" x14ac:dyDescent="0.25">
      <c r="A75" s="86"/>
      <c r="B75" s="86"/>
      <c r="C75" s="86"/>
      <c r="D75" s="86"/>
      <c r="E75" s="86"/>
      <c r="F75" s="86"/>
      <c r="G75" s="86"/>
      <c r="H75" s="86"/>
      <c r="I75" s="83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 spans="1:26" ht="12" customHeight="1" x14ac:dyDescent="0.25">
      <c r="A76" s="86"/>
      <c r="B76" s="86"/>
      <c r="C76" s="86"/>
      <c r="D76" s="86"/>
      <c r="E76" s="86"/>
      <c r="F76" s="86"/>
      <c r="G76" s="86"/>
      <c r="H76" s="86"/>
      <c r="I76" s="83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 spans="1:26" ht="12" customHeight="1" x14ac:dyDescent="0.25">
      <c r="A77" s="86"/>
      <c r="B77" s="86"/>
      <c r="C77" s="86"/>
      <c r="D77" s="86"/>
      <c r="E77" s="86"/>
      <c r="F77" s="86"/>
      <c r="G77" s="86"/>
      <c r="H77" s="86"/>
      <c r="I77" s="83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 spans="1:26" ht="12" customHeight="1" x14ac:dyDescent="0.25">
      <c r="A78" s="86"/>
      <c r="B78" s="86"/>
      <c r="C78" s="86"/>
      <c r="D78" s="86"/>
      <c r="E78" s="86"/>
      <c r="F78" s="86"/>
      <c r="G78" s="86"/>
      <c r="H78" s="86"/>
      <c r="I78" s="83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 spans="1:26" ht="12" customHeight="1" x14ac:dyDescent="0.25">
      <c r="A79" s="86"/>
      <c r="B79" s="86"/>
      <c r="C79" s="86"/>
      <c r="D79" s="86"/>
      <c r="E79" s="86"/>
      <c r="F79" s="86"/>
      <c r="G79" s="86"/>
      <c r="H79" s="86"/>
      <c r="I79" s="83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 spans="1:26" ht="12" customHeight="1" x14ac:dyDescent="0.25">
      <c r="A80" s="86"/>
      <c r="B80" s="86"/>
      <c r="C80" s="86"/>
      <c r="D80" s="86"/>
      <c r="E80" s="86"/>
      <c r="F80" s="86"/>
      <c r="G80" s="86"/>
      <c r="H80" s="86"/>
      <c r="I80" s="83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 spans="1:26" ht="12" customHeight="1" x14ac:dyDescent="0.25">
      <c r="A81" s="86"/>
      <c r="B81" s="86"/>
      <c r="C81" s="86"/>
      <c r="D81" s="86"/>
      <c r="E81" s="86"/>
      <c r="F81" s="86"/>
      <c r="G81" s="86"/>
      <c r="H81" s="86"/>
      <c r="I81" s="83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 spans="1:26" ht="12" customHeight="1" x14ac:dyDescent="0.25">
      <c r="A82" s="86"/>
      <c r="B82" s="86"/>
      <c r="C82" s="86"/>
      <c r="D82" s="86"/>
      <c r="E82" s="86"/>
      <c r="F82" s="86"/>
      <c r="G82" s="86"/>
      <c r="H82" s="86"/>
      <c r="I82" s="83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 spans="1:26" ht="12" customHeight="1" x14ac:dyDescent="0.25">
      <c r="A83" s="86"/>
      <c r="B83" s="86"/>
      <c r="C83" s="86"/>
      <c r="D83" s="86"/>
      <c r="E83" s="86"/>
      <c r="F83" s="86"/>
      <c r="G83" s="86"/>
      <c r="H83" s="86"/>
      <c r="I83" s="83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 spans="1:26" ht="12" customHeight="1" x14ac:dyDescent="0.25">
      <c r="A84" s="86"/>
      <c r="B84" s="86"/>
      <c r="C84" s="86"/>
      <c r="D84" s="86"/>
      <c r="E84" s="86"/>
      <c r="F84" s="86"/>
      <c r="G84" s="86"/>
      <c r="H84" s="86"/>
      <c r="I84" s="83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 spans="1:26" ht="12" customHeight="1" x14ac:dyDescent="0.25">
      <c r="A85" s="86"/>
      <c r="B85" s="86"/>
      <c r="C85" s="86"/>
      <c r="D85" s="86"/>
      <c r="E85" s="86"/>
      <c r="F85" s="86"/>
      <c r="G85" s="86"/>
      <c r="H85" s="86"/>
      <c r="I85" s="83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 spans="1:26" ht="12" customHeight="1" x14ac:dyDescent="0.25">
      <c r="A86" s="86"/>
      <c r="B86" s="86"/>
      <c r="C86" s="86"/>
      <c r="D86" s="86"/>
      <c r="E86" s="86"/>
      <c r="F86" s="86"/>
      <c r="G86" s="86"/>
      <c r="H86" s="86"/>
      <c r="I86" s="83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 spans="1:26" ht="12" customHeight="1" x14ac:dyDescent="0.25">
      <c r="A87" s="86"/>
      <c r="B87" s="86"/>
      <c r="C87" s="86"/>
      <c r="D87" s="86"/>
      <c r="E87" s="86"/>
      <c r="F87" s="86"/>
      <c r="G87" s="86"/>
      <c r="H87" s="86"/>
      <c r="I87" s="83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 spans="1:26" ht="12" customHeight="1" x14ac:dyDescent="0.25">
      <c r="A88" s="86"/>
      <c r="B88" s="86"/>
      <c r="C88" s="86"/>
      <c r="D88" s="86"/>
      <c r="E88" s="86"/>
      <c r="F88" s="86"/>
      <c r="G88" s="86"/>
      <c r="H88" s="86"/>
      <c r="I88" s="83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 spans="1:26" ht="12" customHeight="1" x14ac:dyDescent="0.25">
      <c r="A89" s="86"/>
      <c r="B89" s="86"/>
      <c r="C89" s="86"/>
      <c r="D89" s="86"/>
      <c r="E89" s="86"/>
      <c r="F89" s="86"/>
      <c r="G89" s="86"/>
      <c r="H89" s="86"/>
      <c r="I89" s="83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 spans="1:26" ht="12" customHeight="1" x14ac:dyDescent="0.25">
      <c r="A90" s="86"/>
      <c r="B90" s="86"/>
      <c r="C90" s="86"/>
      <c r="D90" s="86"/>
      <c r="E90" s="86"/>
      <c r="F90" s="86"/>
      <c r="G90" s="86"/>
      <c r="H90" s="86"/>
      <c r="I90" s="83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 spans="1:26" ht="12" customHeight="1" x14ac:dyDescent="0.25">
      <c r="A91" s="86"/>
      <c r="B91" s="86"/>
      <c r="C91" s="86"/>
      <c r="D91" s="86"/>
      <c r="E91" s="86"/>
      <c r="F91" s="86"/>
      <c r="G91" s="86"/>
      <c r="H91" s="86"/>
      <c r="I91" s="83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 spans="1:26" ht="12" customHeight="1" x14ac:dyDescent="0.25">
      <c r="A92" s="86"/>
      <c r="B92" s="86"/>
      <c r="C92" s="86"/>
      <c r="D92" s="86"/>
      <c r="E92" s="86"/>
      <c r="F92" s="86"/>
      <c r="G92" s="86"/>
      <c r="H92" s="86"/>
      <c r="I92" s="83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 spans="1:26" ht="12" customHeight="1" x14ac:dyDescent="0.25">
      <c r="A93" s="86"/>
      <c r="B93" s="86"/>
      <c r="C93" s="86"/>
      <c r="D93" s="86"/>
      <c r="E93" s="86"/>
      <c r="F93" s="86"/>
      <c r="G93" s="86"/>
      <c r="H93" s="86"/>
      <c r="I93" s="83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 spans="1:26" ht="12" customHeight="1" x14ac:dyDescent="0.25">
      <c r="A94" s="86"/>
      <c r="B94" s="86"/>
      <c r="C94" s="86"/>
      <c r="D94" s="86"/>
      <c r="E94" s="86"/>
      <c r="F94" s="86"/>
      <c r="G94" s="86"/>
      <c r="H94" s="86"/>
      <c r="I94" s="83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 spans="1:26" ht="12" customHeight="1" x14ac:dyDescent="0.25">
      <c r="A95" s="86"/>
      <c r="B95" s="86"/>
      <c r="C95" s="86"/>
      <c r="D95" s="86"/>
      <c r="E95" s="86"/>
      <c r="F95" s="86"/>
      <c r="G95" s="86"/>
      <c r="H95" s="86"/>
      <c r="I95" s="83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 spans="1:26" ht="12" customHeight="1" x14ac:dyDescent="0.25">
      <c r="A96" s="86"/>
      <c r="B96" s="86"/>
      <c r="C96" s="86"/>
      <c r="D96" s="86"/>
      <c r="E96" s="86"/>
      <c r="F96" s="86"/>
      <c r="G96" s="86"/>
      <c r="H96" s="86"/>
      <c r="I96" s="83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 spans="1:26" ht="12" customHeight="1" x14ac:dyDescent="0.25">
      <c r="A97" s="86"/>
      <c r="B97" s="86"/>
      <c r="C97" s="86"/>
      <c r="D97" s="86"/>
      <c r="E97" s="86"/>
      <c r="F97" s="86"/>
      <c r="G97" s="86"/>
      <c r="H97" s="86"/>
      <c r="I97" s="83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 spans="1:26" ht="12" customHeight="1" x14ac:dyDescent="0.25">
      <c r="A98" s="86"/>
      <c r="B98" s="86"/>
      <c r="C98" s="86"/>
      <c r="D98" s="86"/>
      <c r="E98" s="86"/>
      <c r="F98" s="86"/>
      <c r="G98" s="86"/>
      <c r="H98" s="86"/>
      <c r="I98" s="83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 spans="1:26" ht="12" customHeight="1" x14ac:dyDescent="0.25">
      <c r="A99" s="86"/>
      <c r="B99" s="86"/>
      <c r="C99" s="86"/>
      <c r="D99" s="86"/>
      <c r="E99" s="86"/>
      <c r="F99" s="86"/>
      <c r="G99" s="86"/>
      <c r="H99" s="86"/>
      <c r="I99" s="83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 spans="1:26" ht="12" customHeight="1" x14ac:dyDescent="0.25">
      <c r="A100" s="86"/>
      <c r="B100" s="86"/>
      <c r="C100" s="86"/>
      <c r="D100" s="86"/>
      <c r="E100" s="86"/>
      <c r="F100" s="86"/>
      <c r="G100" s="86"/>
      <c r="H100" s="86"/>
      <c r="I100" s="83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 spans="1:26" ht="12" customHeight="1" x14ac:dyDescent="0.25">
      <c r="A101" s="86"/>
      <c r="B101" s="86"/>
      <c r="C101" s="86"/>
      <c r="D101" s="86"/>
      <c r="E101" s="86"/>
      <c r="F101" s="86"/>
      <c r="G101" s="86"/>
      <c r="H101" s="86"/>
      <c r="I101" s="83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 spans="1:26" ht="12" customHeight="1" x14ac:dyDescent="0.25">
      <c r="A102" s="86"/>
      <c r="B102" s="86"/>
      <c r="C102" s="86"/>
      <c r="D102" s="86"/>
      <c r="E102" s="86"/>
      <c r="F102" s="86"/>
      <c r="G102" s="86"/>
      <c r="H102" s="86"/>
      <c r="I102" s="83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 spans="1:26" ht="12" customHeight="1" x14ac:dyDescent="0.25">
      <c r="A103" s="86"/>
      <c r="B103" s="86"/>
      <c r="C103" s="86"/>
      <c r="D103" s="86"/>
      <c r="E103" s="86"/>
      <c r="F103" s="86"/>
      <c r="G103" s="86"/>
      <c r="H103" s="86"/>
      <c r="I103" s="83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 spans="1:26" ht="12" customHeight="1" x14ac:dyDescent="0.25">
      <c r="A104" s="86"/>
      <c r="B104" s="86"/>
      <c r="C104" s="86"/>
      <c r="D104" s="86"/>
      <c r="E104" s="86"/>
      <c r="F104" s="86"/>
      <c r="G104" s="86"/>
      <c r="H104" s="86"/>
      <c r="I104" s="83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 spans="1:26" ht="12" customHeight="1" x14ac:dyDescent="0.25">
      <c r="A105" s="86"/>
      <c r="B105" s="86"/>
      <c r="C105" s="86"/>
      <c r="D105" s="86"/>
      <c r="E105" s="86"/>
      <c r="F105" s="86"/>
      <c r="G105" s="86"/>
      <c r="H105" s="86"/>
      <c r="I105" s="83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 spans="1:26" ht="12" customHeight="1" x14ac:dyDescent="0.25">
      <c r="A106" s="86"/>
      <c r="B106" s="86"/>
      <c r="C106" s="86"/>
      <c r="D106" s="86"/>
      <c r="E106" s="86"/>
      <c r="F106" s="86"/>
      <c r="G106" s="86"/>
      <c r="H106" s="86"/>
      <c r="I106" s="83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 spans="1:26" ht="12" customHeight="1" x14ac:dyDescent="0.25">
      <c r="A107" s="86"/>
      <c r="B107" s="86"/>
      <c r="C107" s="86"/>
      <c r="D107" s="86"/>
      <c r="E107" s="86"/>
      <c r="F107" s="86"/>
      <c r="G107" s="86"/>
      <c r="H107" s="86"/>
      <c r="I107" s="83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 spans="1:26" ht="12" customHeight="1" x14ac:dyDescent="0.25">
      <c r="A108" s="86"/>
      <c r="B108" s="86"/>
      <c r="C108" s="86"/>
      <c r="D108" s="86"/>
      <c r="E108" s="86"/>
      <c r="F108" s="86"/>
      <c r="G108" s="86"/>
      <c r="H108" s="86"/>
      <c r="I108" s="83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 spans="1:26" ht="12" customHeight="1" x14ac:dyDescent="0.25">
      <c r="A109" s="86"/>
      <c r="B109" s="86"/>
      <c r="C109" s="86"/>
      <c r="D109" s="86"/>
      <c r="E109" s="86"/>
      <c r="F109" s="86"/>
      <c r="G109" s="86"/>
      <c r="H109" s="86"/>
      <c r="I109" s="83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 spans="1:26" ht="12" customHeight="1" x14ac:dyDescent="0.25">
      <c r="A110" s="86"/>
      <c r="B110" s="86"/>
      <c r="C110" s="86"/>
      <c r="D110" s="86"/>
      <c r="E110" s="86"/>
      <c r="F110" s="86"/>
      <c r="G110" s="86"/>
      <c r="H110" s="86"/>
      <c r="I110" s="83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 spans="1:26" ht="12" customHeight="1" x14ac:dyDescent="0.25">
      <c r="A111" s="86"/>
      <c r="B111" s="86"/>
      <c r="C111" s="86"/>
      <c r="D111" s="86"/>
      <c r="E111" s="86"/>
      <c r="F111" s="86"/>
      <c r="G111" s="86"/>
      <c r="H111" s="86"/>
      <c r="I111" s="83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 spans="1:26" ht="12" customHeight="1" x14ac:dyDescent="0.25">
      <c r="A112" s="86"/>
      <c r="B112" s="86"/>
      <c r="C112" s="86"/>
      <c r="D112" s="86"/>
      <c r="E112" s="86"/>
      <c r="F112" s="86"/>
      <c r="G112" s="86"/>
      <c r="H112" s="86"/>
      <c r="I112" s="83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 spans="1:26" ht="12" customHeight="1" x14ac:dyDescent="0.25">
      <c r="A113" s="86"/>
      <c r="B113" s="86"/>
      <c r="C113" s="86"/>
      <c r="D113" s="86"/>
      <c r="E113" s="86"/>
      <c r="F113" s="86"/>
      <c r="G113" s="86"/>
      <c r="H113" s="86"/>
      <c r="I113" s="83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 spans="1:26" ht="12" customHeight="1" x14ac:dyDescent="0.25">
      <c r="A114" s="86"/>
      <c r="B114" s="86"/>
      <c r="C114" s="86"/>
      <c r="D114" s="86"/>
      <c r="E114" s="86"/>
      <c r="F114" s="86"/>
      <c r="G114" s="86"/>
      <c r="H114" s="86"/>
      <c r="I114" s="83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 spans="1:26" ht="12" customHeight="1" x14ac:dyDescent="0.25">
      <c r="A115" s="86"/>
      <c r="B115" s="86"/>
      <c r="C115" s="86"/>
      <c r="D115" s="86"/>
      <c r="E115" s="86"/>
      <c r="F115" s="86"/>
      <c r="G115" s="86"/>
      <c r="H115" s="86"/>
      <c r="I115" s="83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 spans="1:26" ht="12" customHeight="1" x14ac:dyDescent="0.25">
      <c r="A116" s="86"/>
      <c r="B116" s="86"/>
      <c r="C116" s="86"/>
      <c r="D116" s="86"/>
      <c r="E116" s="86"/>
      <c r="F116" s="86"/>
      <c r="G116" s="86"/>
      <c r="H116" s="86"/>
      <c r="I116" s="83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 spans="1:26" ht="12" customHeight="1" x14ac:dyDescent="0.25">
      <c r="A117" s="86"/>
      <c r="B117" s="86"/>
      <c r="C117" s="86"/>
      <c r="D117" s="86"/>
      <c r="E117" s="86"/>
      <c r="F117" s="86"/>
      <c r="G117" s="86"/>
      <c r="H117" s="86"/>
      <c r="I117" s="83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 spans="1:26" ht="12" customHeight="1" x14ac:dyDescent="0.25">
      <c r="A118" s="86"/>
      <c r="B118" s="86"/>
      <c r="C118" s="86"/>
      <c r="D118" s="86"/>
      <c r="E118" s="86"/>
      <c r="F118" s="86"/>
      <c r="G118" s="86"/>
      <c r="H118" s="86"/>
      <c r="I118" s="83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 spans="1:26" ht="12" customHeight="1" x14ac:dyDescent="0.25">
      <c r="A119" s="86"/>
      <c r="B119" s="86"/>
      <c r="C119" s="86"/>
      <c r="D119" s="86"/>
      <c r="E119" s="86"/>
      <c r="F119" s="86"/>
      <c r="G119" s="86"/>
      <c r="H119" s="86"/>
      <c r="I119" s="83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 spans="1:26" ht="12" customHeight="1" x14ac:dyDescent="0.25">
      <c r="A120" s="86"/>
      <c r="B120" s="86"/>
      <c r="C120" s="86"/>
      <c r="D120" s="86"/>
      <c r="E120" s="86"/>
      <c r="F120" s="86"/>
      <c r="G120" s="86"/>
      <c r="H120" s="86"/>
      <c r="I120" s="83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 spans="1:26" ht="12" customHeight="1" x14ac:dyDescent="0.25">
      <c r="A121" s="86"/>
      <c r="B121" s="86"/>
      <c r="C121" s="86"/>
      <c r="D121" s="86"/>
      <c r="E121" s="86"/>
      <c r="F121" s="86"/>
      <c r="G121" s="86"/>
      <c r="H121" s="86"/>
      <c r="I121" s="83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 spans="1:26" ht="12" customHeight="1" x14ac:dyDescent="0.25">
      <c r="A122" s="86"/>
      <c r="B122" s="86"/>
      <c r="C122" s="86"/>
      <c r="D122" s="86"/>
      <c r="E122" s="86"/>
      <c r="F122" s="86"/>
      <c r="G122" s="86"/>
      <c r="H122" s="86"/>
      <c r="I122" s="83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 spans="1:26" ht="12" customHeight="1" x14ac:dyDescent="0.25">
      <c r="A123" s="86"/>
      <c r="B123" s="86"/>
      <c r="C123" s="86"/>
      <c r="D123" s="86"/>
      <c r="E123" s="86"/>
      <c r="F123" s="86"/>
      <c r="G123" s="86"/>
      <c r="H123" s="86"/>
      <c r="I123" s="83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 spans="1:26" ht="12" customHeight="1" x14ac:dyDescent="0.25">
      <c r="A124" s="86"/>
      <c r="B124" s="86"/>
      <c r="C124" s="86"/>
      <c r="D124" s="86"/>
      <c r="E124" s="86"/>
      <c r="F124" s="86"/>
      <c r="G124" s="86"/>
      <c r="H124" s="86"/>
      <c r="I124" s="83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 spans="1:26" ht="12" customHeight="1" x14ac:dyDescent="0.25">
      <c r="A125" s="86"/>
      <c r="B125" s="86"/>
      <c r="C125" s="86"/>
      <c r="D125" s="86"/>
      <c r="E125" s="86"/>
      <c r="F125" s="86"/>
      <c r="G125" s="86"/>
      <c r="H125" s="86"/>
      <c r="I125" s="83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 spans="1:26" ht="12" customHeight="1" x14ac:dyDescent="0.25">
      <c r="A126" s="86"/>
      <c r="B126" s="86"/>
      <c r="C126" s="86"/>
      <c r="D126" s="86"/>
      <c r="E126" s="86"/>
      <c r="F126" s="86"/>
      <c r="G126" s="86"/>
      <c r="H126" s="86"/>
      <c r="I126" s="83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 spans="1:26" ht="12" customHeight="1" x14ac:dyDescent="0.25">
      <c r="A127" s="86"/>
      <c r="B127" s="86"/>
      <c r="C127" s="86"/>
      <c r="D127" s="86"/>
      <c r="E127" s="86"/>
      <c r="F127" s="86"/>
      <c r="G127" s="86"/>
      <c r="H127" s="86"/>
      <c r="I127" s="83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 spans="1:26" ht="12" customHeight="1" x14ac:dyDescent="0.25">
      <c r="A128" s="86"/>
      <c r="B128" s="86"/>
      <c r="C128" s="86"/>
      <c r="D128" s="86"/>
      <c r="E128" s="86"/>
      <c r="F128" s="86"/>
      <c r="G128" s="86"/>
      <c r="H128" s="86"/>
      <c r="I128" s="83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 spans="1:26" ht="12" customHeight="1" x14ac:dyDescent="0.25">
      <c r="A129" s="86"/>
      <c r="B129" s="86"/>
      <c r="C129" s="86"/>
      <c r="D129" s="86"/>
      <c r="E129" s="86"/>
      <c r="F129" s="86"/>
      <c r="G129" s="86"/>
      <c r="H129" s="86"/>
      <c r="I129" s="83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 spans="1:26" ht="12" customHeight="1" x14ac:dyDescent="0.25">
      <c r="A130" s="86"/>
      <c r="B130" s="86"/>
      <c r="C130" s="86"/>
      <c r="D130" s="86"/>
      <c r="E130" s="86"/>
      <c r="F130" s="86"/>
      <c r="G130" s="86"/>
      <c r="H130" s="86"/>
      <c r="I130" s="83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 spans="1:26" ht="12" customHeight="1" x14ac:dyDescent="0.25">
      <c r="A131" s="86"/>
      <c r="B131" s="86"/>
      <c r="C131" s="86"/>
      <c r="D131" s="86"/>
      <c r="E131" s="86"/>
      <c r="F131" s="86"/>
      <c r="G131" s="86"/>
      <c r="H131" s="86"/>
      <c r="I131" s="83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 spans="1:26" ht="12" customHeight="1" x14ac:dyDescent="0.25">
      <c r="A132" s="86"/>
      <c r="B132" s="86"/>
      <c r="C132" s="86"/>
      <c r="D132" s="86"/>
      <c r="E132" s="86"/>
      <c r="F132" s="86"/>
      <c r="G132" s="86"/>
      <c r="H132" s="86"/>
      <c r="I132" s="83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 spans="1:26" ht="12" customHeight="1" x14ac:dyDescent="0.25">
      <c r="A133" s="86"/>
      <c r="B133" s="86"/>
      <c r="C133" s="86"/>
      <c r="D133" s="86"/>
      <c r="E133" s="86"/>
      <c r="F133" s="86"/>
      <c r="G133" s="86"/>
      <c r="H133" s="86"/>
      <c r="I133" s="83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 spans="1:26" ht="12" customHeight="1" x14ac:dyDescent="0.25">
      <c r="A134" s="86"/>
      <c r="B134" s="86"/>
      <c r="C134" s="86"/>
      <c r="D134" s="86"/>
      <c r="E134" s="86"/>
      <c r="F134" s="86"/>
      <c r="G134" s="86"/>
      <c r="H134" s="86"/>
      <c r="I134" s="83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 spans="1:26" ht="12" customHeight="1" x14ac:dyDescent="0.25">
      <c r="A135" s="86"/>
      <c r="B135" s="86"/>
      <c r="C135" s="86"/>
      <c r="D135" s="86"/>
      <c r="E135" s="86"/>
      <c r="F135" s="86"/>
      <c r="G135" s="86"/>
      <c r="H135" s="86"/>
      <c r="I135" s="83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 spans="1:26" ht="12" customHeight="1" x14ac:dyDescent="0.25">
      <c r="A136" s="86"/>
      <c r="B136" s="86"/>
      <c r="C136" s="86"/>
      <c r="D136" s="86"/>
      <c r="E136" s="86"/>
      <c r="F136" s="86"/>
      <c r="G136" s="86"/>
      <c r="H136" s="86"/>
      <c r="I136" s="83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 spans="1:26" ht="12" customHeight="1" x14ac:dyDescent="0.25">
      <c r="A137" s="86"/>
      <c r="B137" s="86"/>
      <c r="C137" s="86"/>
      <c r="D137" s="86"/>
      <c r="E137" s="86"/>
      <c r="F137" s="86"/>
      <c r="G137" s="86"/>
      <c r="H137" s="86"/>
      <c r="I137" s="83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 spans="1:26" ht="12" customHeight="1" x14ac:dyDescent="0.25">
      <c r="A138" s="86"/>
      <c r="B138" s="86"/>
      <c r="C138" s="86"/>
      <c r="D138" s="86"/>
      <c r="E138" s="86"/>
      <c r="F138" s="86"/>
      <c r="G138" s="86"/>
      <c r="H138" s="86"/>
      <c r="I138" s="83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 spans="1:26" ht="12" customHeight="1" x14ac:dyDescent="0.25">
      <c r="A139" s="86"/>
      <c r="B139" s="86"/>
      <c r="C139" s="86"/>
      <c r="D139" s="86"/>
      <c r="E139" s="86"/>
      <c r="F139" s="86"/>
      <c r="G139" s="86"/>
      <c r="H139" s="86"/>
      <c r="I139" s="83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 spans="1:26" ht="12" customHeight="1" x14ac:dyDescent="0.25">
      <c r="A140" s="86"/>
      <c r="B140" s="86"/>
      <c r="C140" s="86"/>
      <c r="D140" s="86"/>
      <c r="E140" s="86"/>
      <c r="F140" s="86"/>
      <c r="G140" s="86"/>
      <c r="H140" s="86"/>
      <c r="I140" s="83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 spans="1:26" ht="12" customHeight="1" x14ac:dyDescent="0.25">
      <c r="A141" s="86"/>
      <c r="B141" s="86"/>
      <c r="C141" s="86"/>
      <c r="D141" s="86"/>
      <c r="E141" s="86"/>
      <c r="F141" s="86"/>
      <c r="G141" s="86"/>
      <c r="H141" s="86"/>
      <c r="I141" s="83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 spans="1:26" ht="12" customHeight="1" x14ac:dyDescent="0.25">
      <c r="A142" s="86"/>
      <c r="B142" s="86"/>
      <c r="C142" s="86"/>
      <c r="D142" s="86"/>
      <c r="E142" s="86"/>
      <c r="F142" s="86"/>
      <c r="G142" s="86"/>
      <c r="H142" s="86"/>
      <c r="I142" s="83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 spans="1:26" ht="12" customHeight="1" x14ac:dyDescent="0.25">
      <c r="A143" s="86"/>
      <c r="B143" s="86"/>
      <c r="C143" s="86"/>
      <c r="D143" s="86"/>
      <c r="E143" s="86"/>
      <c r="F143" s="86"/>
      <c r="G143" s="86"/>
      <c r="H143" s="86"/>
      <c r="I143" s="83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 spans="1:26" ht="12" customHeight="1" x14ac:dyDescent="0.25">
      <c r="A144" s="86"/>
      <c r="B144" s="86"/>
      <c r="C144" s="86"/>
      <c r="D144" s="86"/>
      <c r="E144" s="86"/>
      <c r="F144" s="86"/>
      <c r="G144" s="86"/>
      <c r="H144" s="86"/>
      <c r="I144" s="83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 spans="1:26" ht="12" customHeight="1" x14ac:dyDescent="0.25">
      <c r="A145" s="86"/>
      <c r="B145" s="86"/>
      <c r="C145" s="86"/>
      <c r="D145" s="86"/>
      <c r="E145" s="86"/>
      <c r="F145" s="86"/>
      <c r="G145" s="86"/>
      <c r="H145" s="86"/>
      <c r="I145" s="83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 spans="1:26" ht="12" customHeight="1" x14ac:dyDescent="0.25">
      <c r="A146" s="86"/>
      <c r="B146" s="86"/>
      <c r="C146" s="86"/>
      <c r="D146" s="86"/>
      <c r="E146" s="86"/>
      <c r="F146" s="86"/>
      <c r="G146" s="86"/>
      <c r="H146" s="86"/>
      <c r="I146" s="83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 spans="1:26" ht="12" customHeight="1" x14ac:dyDescent="0.25">
      <c r="A147" s="86"/>
      <c r="B147" s="86"/>
      <c r="C147" s="86"/>
      <c r="D147" s="86"/>
      <c r="E147" s="86"/>
      <c r="F147" s="86"/>
      <c r="G147" s="86"/>
      <c r="H147" s="86"/>
      <c r="I147" s="83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 spans="1:26" ht="12" customHeight="1" x14ac:dyDescent="0.25">
      <c r="A148" s="86"/>
      <c r="B148" s="86"/>
      <c r="C148" s="86"/>
      <c r="D148" s="86"/>
      <c r="E148" s="86"/>
      <c r="F148" s="86"/>
      <c r="G148" s="86"/>
      <c r="H148" s="86"/>
      <c r="I148" s="83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 spans="1:26" ht="12" customHeight="1" x14ac:dyDescent="0.25">
      <c r="A149" s="86"/>
      <c r="B149" s="86"/>
      <c r="C149" s="86"/>
      <c r="D149" s="86"/>
      <c r="E149" s="86"/>
      <c r="F149" s="86"/>
      <c r="G149" s="86"/>
      <c r="H149" s="86"/>
      <c r="I149" s="83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 spans="1:26" ht="12" customHeight="1" x14ac:dyDescent="0.25">
      <c r="A150" s="86"/>
      <c r="B150" s="86"/>
      <c r="C150" s="86"/>
      <c r="D150" s="86"/>
      <c r="E150" s="86"/>
      <c r="F150" s="86"/>
      <c r="G150" s="86"/>
      <c r="H150" s="86"/>
      <c r="I150" s="83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 spans="1:26" ht="12" customHeight="1" x14ac:dyDescent="0.25">
      <c r="A151" s="86"/>
      <c r="B151" s="86"/>
      <c r="C151" s="86"/>
      <c r="D151" s="86"/>
      <c r="E151" s="86"/>
      <c r="F151" s="86"/>
      <c r="G151" s="86"/>
      <c r="H151" s="86"/>
      <c r="I151" s="83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 spans="1:26" ht="12" customHeight="1" x14ac:dyDescent="0.25">
      <c r="A152" s="86"/>
      <c r="B152" s="86"/>
      <c r="C152" s="86"/>
      <c r="D152" s="86"/>
      <c r="E152" s="86"/>
      <c r="F152" s="86"/>
      <c r="G152" s="86"/>
      <c r="H152" s="86"/>
      <c r="I152" s="83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 spans="1:26" ht="12" customHeight="1" x14ac:dyDescent="0.25">
      <c r="A153" s="86"/>
      <c r="B153" s="86"/>
      <c r="C153" s="86"/>
      <c r="D153" s="86"/>
      <c r="E153" s="86"/>
      <c r="F153" s="86"/>
      <c r="G153" s="86"/>
      <c r="H153" s="86"/>
      <c r="I153" s="83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 spans="1:26" ht="12" customHeight="1" x14ac:dyDescent="0.25">
      <c r="A154" s="86"/>
      <c r="B154" s="86"/>
      <c r="C154" s="86"/>
      <c r="D154" s="86"/>
      <c r="E154" s="86"/>
      <c r="F154" s="86"/>
      <c r="G154" s="86"/>
      <c r="H154" s="86"/>
      <c r="I154" s="83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 spans="1:26" ht="12" customHeight="1" x14ac:dyDescent="0.25">
      <c r="A155" s="86"/>
      <c r="B155" s="86"/>
      <c r="C155" s="86"/>
      <c r="D155" s="86"/>
      <c r="E155" s="86"/>
      <c r="F155" s="86"/>
      <c r="G155" s="86"/>
      <c r="H155" s="86"/>
      <c r="I155" s="83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 spans="1:26" ht="12" customHeight="1" x14ac:dyDescent="0.25">
      <c r="A156" s="86"/>
      <c r="B156" s="86"/>
      <c r="C156" s="86"/>
      <c r="D156" s="86"/>
      <c r="E156" s="86"/>
      <c r="F156" s="86"/>
      <c r="G156" s="86"/>
      <c r="H156" s="86"/>
      <c r="I156" s="83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 spans="1:26" ht="12" customHeight="1" x14ac:dyDescent="0.25">
      <c r="A157" s="86"/>
      <c r="B157" s="86"/>
      <c r="C157" s="86"/>
      <c r="D157" s="86"/>
      <c r="E157" s="86"/>
      <c r="F157" s="86"/>
      <c r="G157" s="86"/>
      <c r="H157" s="86"/>
      <c r="I157" s="83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 spans="1:26" ht="12" customHeight="1" x14ac:dyDescent="0.25">
      <c r="A158" s="86"/>
      <c r="B158" s="86"/>
      <c r="C158" s="86"/>
      <c r="D158" s="86"/>
      <c r="E158" s="86"/>
      <c r="F158" s="86"/>
      <c r="G158" s="86"/>
      <c r="H158" s="86"/>
      <c r="I158" s="83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 spans="1:26" ht="12" customHeight="1" x14ac:dyDescent="0.25">
      <c r="A159" s="86"/>
      <c r="B159" s="86"/>
      <c r="C159" s="86"/>
      <c r="D159" s="86"/>
      <c r="E159" s="86"/>
      <c r="F159" s="86"/>
      <c r="G159" s="86"/>
      <c r="H159" s="86"/>
      <c r="I159" s="83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 spans="1:26" ht="12" customHeight="1" x14ac:dyDescent="0.25">
      <c r="A160" s="86"/>
      <c r="B160" s="86"/>
      <c r="C160" s="86"/>
      <c r="D160" s="86"/>
      <c r="E160" s="86"/>
      <c r="F160" s="86"/>
      <c r="G160" s="86"/>
      <c r="H160" s="86"/>
      <c r="I160" s="83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 spans="1:26" ht="12" customHeight="1" x14ac:dyDescent="0.25">
      <c r="A161" s="86"/>
      <c r="B161" s="86"/>
      <c r="C161" s="86"/>
      <c r="D161" s="86"/>
      <c r="E161" s="86"/>
      <c r="F161" s="86"/>
      <c r="G161" s="86"/>
      <c r="H161" s="86"/>
      <c r="I161" s="83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 spans="1:26" ht="12" customHeight="1" x14ac:dyDescent="0.25">
      <c r="A162" s="86"/>
      <c r="B162" s="86"/>
      <c r="C162" s="86"/>
      <c r="D162" s="86"/>
      <c r="E162" s="86"/>
      <c r="F162" s="86"/>
      <c r="G162" s="86"/>
      <c r="H162" s="86"/>
      <c r="I162" s="83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 spans="1:26" ht="12" customHeight="1" x14ac:dyDescent="0.25">
      <c r="A163" s="86"/>
      <c r="B163" s="86"/>
      <c r="C163" s="86"/>
      <c r="D163" s="86"/>
      <c r="E163" s="86"/>
      <c r="F163" s="86"/>
      <c r="G163" s="86"/>
      <c r="H163" s="86"/>
      <c r="I163" s="83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 spans="1:26" ht="12" customHeight="1" x14ac:dyDescent="0.25">
      <c r="A164" s="86"/>
      <c r="B164" s="86"/>
      <c r="C164" s="86"/>
      <c r="D164" s="86"/>
      <c r="E164" s="86"/>
      <c r="F164" s="86"/>
      <c r="G164" s="86"/>
      <c r="H164" s="86"/>
      <c r="I164" s="83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 spans="1:26" ht="12" customHeight="1" x14ac:dyDescent="0.25">
      <c r="A165" s="86"/>
      <c r="B165" s="86"/>
      <c r="C165" s="86"/>
      <c r="D165" s="86"/>
      <c r="E165" s="86"/>
      <c r="F165" s="86"/>
      <c r="G165" s="86"/>
      <c r="H165" s="86"/>
      <c r="I165" s="83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 spans="1:26" ht="12" customHeight="1" x14ac:dyDescent="0.25">
      <c r="A166" s="86"/>
      <c r="B166" s="86"/>
      <c r="C166" s="86"/>
      <c r="D166" s="86"/>
      <c r="E166" s="86"/>
      <c r="F166" s="86"/>
      <c r="G166" s="86"/>
      <c r="H166" s="86"/>
      <c r="I166" s="83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 spans="1:26" ht="12" customHeight="1" x14ac:dyDescent="0.25">
      <c r="A167" s="86"/>
      <c r="B167" s="86"/>
      <c r="C167" s="86"/>
      <c r="D167" s="86"/>
      <c r="E167" s="86"/>
      <c r="F167" s="86"/>
      <c r="G167" s="86"/>
      <c r="H167" s="86"/>
      <c r="I167" s="83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 spans="1:26" ht="12" customHeight="1" x14ac:dyDescent="0.25">
      <c r="A168" s="86"/>
      <c r="B168" s="86"/>
      <c r="C168" s="86"/>
      <c r="D168" s="86"/>
      <c r="E168" s="86"/>
      <c r="F168" s="86"/>
      <c r="G168" s="86"/>
      <c r="H168" s="86"/>
      <c r="I168" s="83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 spans="1:26" ht="12" customHeight="1" x14ac:dyDescent="0.25">
      <c r="A169" s="86"/>
      <c r="B169" s="86"/>
      <c r="C169" s="86"/>
      <c r="D169" s="86"/>
      <c r="E169" s="86"/>
      <c r="F169" s="86"/>
      <c r="G169" s="86"/>
      <c r="H169" s="86"/>
      <c r="I169" s="83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 spans="1:26" ht="12" customHeight="1" x14ac:dyDescent="0.25">
      <c r="A170" s="86"/>
      <c r="B170" s="86"/>
      <c r="C170" s="86"/>
      <c r="D170" s="86"/>
      <c r="E170" s="86"/>
      <c r="F170" s="86"/>
      <c r="G170" s="86"/>
      <c r="H170" s="86"/>
      <c r="I170" s="83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 spans="1:26" ht="12" customHeight="1" x14ac:dyDescent="0.25">
      <c r="A171" s="86"/>
      <c r="B171" s="86"/>
      <c r="C171" s="86"/>
      <c r="D171" s="86"/>
      <c r="E171" s="86"/>
      <c r="F171" s="86"/>
      <c r="G171" s="86"/>
      <c r="H171" s="86"/>
      <c r="I171" s="83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 spans="1:26" ht="12" customHeight="1" x14ac:dyDescent="0.25">
      <c r="A172" s="86"/>
      <c r="B172" s="86"/>
      <c r="C172" s="86"/>
      <c r="D172" s="86"/>
      <c r="E172" s="86"/>
      <c r="F172" s="86"/>
      <c r="G172" s="86"/>
      <c r="H172" s="86"/>
      <c r="I172" s="83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 spans="1:26" ht="12" customHeight="1" x14ac:dyDescent="0.25">
      <c r="A173" s="86"/>
      <c r="B173" s="86"/>
      <c r="C173" s="86"/>
      <c r="D173" s="86"/>
      <c r="E173" s="86"/>
      <c r="F173" s="86"/>
      <c r="G173" s="86"/>
      <c r="H173" s="86"/>
      <c r="I173" s="83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 spans="1:26" ht="12" customHeight="1" x14ac:dyDescent="0.25">
      <c r="A174" s="86"/>
      <c r="B174" s="86"/>
      <c r="C174" s="86"/>
      <c r="D174" s="86"/>
      <c r="E174" s="86"/>
      <c r="F174" s="86"/>
      <c r="G174" s="86"/>
      <c r="H174" s="86"/>
      <c r="I174" s="83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 spans="1:26" ht="12" customHeight="1" x14ac:dyDescent="0.25">
      <c r="A175" s="86"/>
      <c r="B175" s="86"/>
      <c r="C175" s="86"/>
      <c r="D175" s="86"/>
      <c r="E175" s="86"/>
      <c r="F175" s="86"/>
      <c r="G175" s="86"/>
      <c r="H175" s="86"/>
      <c r="I175" s="83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 spans="1:26" ht="12" customHeight="1" x14ac:dyDescent="0.25">
      <c r="A176" s="86"/>
      <c r="B176" s="86"/>
      <c r="C176" s="86"/>
      <c r="D176" s="86"/>
      <c r="E176" s="86"/>
      <c r="F176" s="86"/>
      <c r="G176" s="86"/>
      <c r="H176" s="86"/>
      <c r="I176" s="83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 spans="1:26" ht="12" customHeight="1" x14ac:dyDescent="0.25">
      <c r="A177" s="86"/>
      <c r="B177" s="86"/>
      <c r="C177" s="86"/>
      <c r="D177" s="86"/>
      <c r="E177" s="86"/>
      <c r="F177" s="86"/>
      <c r="G177" s="86"/>
      <c r="H177" s="86"/>
      <c r="I177" s="83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 spans="1:26" ht="12" customHeight="1" x14ac:dyDescent="0.25">
      <c r="A178" s="86"/>
      <c r="B178" s="86"/>
      <c r="C178" s="86"/>
      <c r="D178" s="86"/>
      <c r="E178" s="86"/>
      <c r="F178" s="86"/>
      <c r="G178" s="86"/>
      <c r="H178" s="86"/>
      <c r="I178" s="83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 spans="1:26" ht="12" customHeight="1" x14ac:dyDescent="0.25">
      <c r="A179" s="86"/>
      <c r="B179" s="86"/>
      <c r="C179" s="86"/>
      <c r="D179" s="86"/>
      <c r="E179" s="86"/>
      <c r="F179" s="86"/>
      <c r="G179" s="86"/>
      <c r="H179" s="86"/>
      <c r="I179" s="83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 spans="1:26" ht="12" customHeight="1" x14ac:dyDescent="0.25">
      <c r="A180" s="86"/>
      <c r="B180" s="86"/>
      <c r="C180" s="86"/>
      <c r="D180" s="86"/>
      <c r="E180" s="86"/>
      <c r="F180" s="86"/>
      <c r="G180" s="86"/>
      <c r="H180" s="86"/>
      <c r="I180" s="83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 spans="1:26" ht="12" customHeight="1" x14ac:dyDescent="0.25">
      <c r="A181" s="86"/>
      <c r="B181" s="86"/>
      <c r="C181" s="86"/>
      <c r="D181" s="86"/>
      <c r="E181" s="86"/>
      <c r="F181" s="86"/>
      <c r="G181" s="86"/>
      <c r="H181" s="86"/>
      <c r="I181" s="83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 spans="1:26" ht="12" customHeight="1" x14ac:dyDescent="0.25">
      <c r="A182" s="86"/>
      <c r="B182" s="86"/>
      <c r="C182" s="86"/>
      <c r="D182" s="86"/>
      <c r="E182" s="86"/>
      <c r="F182" s="86"/>
      <c r="G182" s="86"/>
      <c r="H182" s="86"/>
      <c r="I182" s="83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 spans="1:26" ht="12" customHeight="1" x14ac:dyDescent="0.25">
      <c r="A183" s="86"/>
      <c r="B183" s="86"/>
      <c r="C183" s="86"/>
      <c r="D183" s="86"/>
      <c r="E183" s="86"/>
      <c r="F183" s="86"/>
      <c r="G183" s="86"/>
      <c r="H183" s="86"/>
      <c r="I183" s="83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 spans="1:26" ht="12" customHeight="1" x14ac:dyDescent="0.25">
      <c r="A184" s="86"/>
      <c r="B184" s="86"/>
      <c r="C184" s="86"/>
      <c r="D184" s="86"/>
      <c r="E184" s="86"/>
      <c r="F184" s="86"/>
      <c r="G184" s="86"/>
      <c r="H184" s="86"/>
      <c r="I184" s="83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 spans="1:26" ht="12" customHeight="1" x14ac:dyDescent="0.25">
      <c r="A185" s="86"/>
      <c r="B185" s="86"/>
      <c r="C185" s="86"/>
      <c r="D185" s="86"/>
      <c r="E185" s="86"/>
      <c r="F185" s="86"/>
      <c r="G185" s="86"/>
      <c r="H185" s="86"/>
      <c r="I185" s="83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 spans="1:26" ht="12" customHeight="1" x14ac:dyDescent="0.25">
      <c r="A186" s="86"/>
      <c r="B186" s="86"/>
      <c r="C186" s="86"/>
      <c r="D186" s="86"/>
      <c r="E186" s="86"/>
      <c r="F186" s="86"/>
      <c r="G186" s="86"/>
      <c r="H186" s="86"/>
      <c r="I186" s="83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 spans="1:26" ht="12" customHeight="1" x14ac:dyDescent="0.25">
      <c r="A187" s="86"/>
      <c r="B187" s="86"/>
      <c r="C187" s="86"/>
      <c r="D187" s="86"/>
      <c r="E187" s="86"/>
      <c r="F187" s="86"/>
      <c r="G187" s="86"/>
      <c r="H187" s="86"/>
      <c r="I187" s="83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 spans="1:26" ht="12" customHeight="1" x14ac:dyDescent="0.25">
      <c r="A188" s="86"/>
      <c r="B188" s="86"/>
      <c r="C188" s="86"/>
      <c r="D188" s="86"/>
      <c r="E188" s="86"/>
      <c r="F188" s="86"/>
      <c r="G188" s="86"/>
      <c r="H188" s="86"/>
      <c r="I188" s="83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 spans="1:26" ht="12" customHeight="1" x14ac:dyDescent="0.25">
      <c r="A189" s="86"/>
      <c r="B189" s="86"/>
      <c r="C189" s="86"/>
      <c r="D189" s="86"/>
      <c r="E189" s="86"/>
      <c r="F189" s="86"/>
      <c r="G189" s="86"/>
      <c r="H189" s="86"/>
      <c r="I189" s="83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 spans="1:26" ht="12" customHeight="1" x14ac:dyDescent="0.25">
      <c r="A190" s="86"/>
      <c r="B190" s="86"/>
      <c r="C190" s="86"/>
      <c r="D190" s="86"/>
      <c r="E190" s="86"/>
      <c r="F190" s="86"/>
      <c r="G190" s="86"/>
      <c r="H190" s="86"/>
      <c r="I190" s="83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 spans="1:26" ht="12" customHeight="1" x14ac:dyDescent="0.25">
      <c r="A191" s="86"/>
      <c r="B191" s="86"/>
      <c r="C191" s="86"/>
      <c r="D191" s="86"/>
      <c r="E191" s="86"/>
      <c r="F191" s="86"/>
      <c r="G191" s="86"/>
      <c r="H191" s="86"/>
      <c r="I191" s="83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 spans="1:26" ht="12" customHeight="1" x14ac:dyDescent="0.25">
      <c r="A192" s="86"/>
      <c r="B192" s="86"/>
      <c r="C192" s="86"/>
      <c r="D192" s="86"/>
      <c r="E192" s="86"/>
      <c r="F192" s="86"/>
      <c r="G192" s="86"/>
      <c r="H192" s="86"/>
      <c r="I192" s="83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 spans="1:26" ht="12" customHeight="1" x14ac:dyDescent="0.25">
      <c r="A193" s="86"/>
      <c r="B193" s="86"/>
      <c r="C193" s="86"/>
      <c r="D193" s="86"/>
      <c r="E193" s="86"/>
      <c r="F193" s="86"/>
      <c r="G193" s="86"/>
      <c r="H193" s="86"/>
      <c r="I193" s="83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 spans="1:26" ht="12" customHeight="1" x14ac:dyDescent="0.25">
      <c r="A194" s="86"/>
      <c r="B194" s="86"/>
      <c r="C194" s="86"/>
      <c r="D194" s="86"/>
      <c r="E194" s="86"/>
      <c r="F194" s="86"/>
      <c r="G194" s="86"/>
      <c r="H194" s="86"/>
      <c r="I194" s="83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 spans="1:26" ht="12" customHeight="1" x14ac:dyDescent="0.25">
      <c r="A195" s="86"/>
      <c r="B195" s="86"/>
      <c r="C195" s="86"/>
      <c r="D195" s="86"/>
      <c r="E195" s="86"/>
      <c r="F195" s="86"/>
      <c r="G195" s="86"/>
      <c r="H195" s="86"/>
      <c r="I195" s="83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 spans="1:26" ht="12" customHeight="1" x14ac:dyDescent="0.25">
      <c r="A196" s="86"/>
      <c r="B196" s="86"/>
      <c r="C196" s="86"/>
      <c r="D196" s="86"/>
      <c r="E196" s="86"/>
      <c r="F196" s="86"/>
      <c r="G196" s="86"/>
      <c r="H196" s="86"/>
      <c r="I196" s="83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 spans="1:26" ht="12" customHeight="1" x14ac:dyDescent="0.25">
      <c r="A197" s="86"/>
      <c r="B197" s="86"/>
      <c r="C197" s="86"/>
      <c r="D197" s="86"/>
      <c r="E197" s="86"/>
      <c r="F197" s="86"/>
      <c r="G197" s="86"/>
      <c r="H197" s="86"/>
      <c r="I197" s="83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 spans="1:26" ht="12" customHeight="1" x14ac:dyDescent="0.25">
      <c r="A198" s="86"/>
      <c r="B198" s="86"/>
      <c r="C198" s="86"/>
      <c r="D198" s="86"/>
      <c r="E198" s="86"/>
      <c r="F198" s="86"/>
      <c r="G198" s="86"/>
      <c r="H198" s="86"/>
      <c r="I198" s="83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 spans="1:26" ht="12" customHeight="1" x14ac:dyDescent="0.25">
      <c r="A199" s="86"/>
      <c r="B199" s="86"/>
      <c r="C199" s="86"/>
      <c r="D199" s="86"/>
      <c r="E199" s="86"/>
      <c r="F199" s="86"/>
      <c r="G199" s="86"/>
      <c r="H199" s="86"/>
      <c r="I199" s="83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 spans="1:26" ht="12" customHeight="1" x14ac:dyDescent="0.25">
      <c r="A200" s="86"/>
      <c r="B200" s="86"/>
      <c r="C200" s="86"/>
      <c r="D200" s="86"/>
      <c r="E200" s="86"/>
      <c r="F200" s="86"/>
      <c r="G200" s="86"/>
      <c r="H200" s="86"/>
      <c r="I200" s="83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 spans="1:26" ht="12" customHeight="1" x14ac:dyDescent="0.25">
      <c r="A201" s="86"/>
      <c r="B201" s="86"/>
      <c r="C201" s="86"/>
      <c r="D201" s="86"/>
      <c r="E201" s="86"/>
      <c r="F201" s="86"/>
      <c r="G201" s="86"/>
      <c r="H201" s="86"/>
      <c r="I201" s="83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 spans="1:26" ht="12" customHeight="1" x14ac:dyDescent="0.25">
      <c r="A202" s="86"/>
      <c r="B202" s="86"/>
      <c r="C202" s="86"/>
      <c r="D202" s="86"/>
      <c r="E202" s="86"/>
      <c r="F202" s="86"/>
      <c r="G202" s="86"/>
      <c r="H202" s="86"/>
      <c r="I202" s="83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 spans="1:26" ht="12" customHeight="1" x14ac:dyDescent="0.25">
      <c r="A203" s="86"/>
      <c r="B203" s="86"/>
      <c r="C203" s="86"/>
      <c r="D203" s="86"/>
      <c r="E203" s="86"/>
      <c r="F203" s="86"/>
      <c r="G203" s="86"/>
      <c r="H203" s="86"/>
      <c r="I203" s="83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 spans="1:26" ht="12" customHeight="1" x14ac:dyDescent="0.25">
      <c r="A204" s="86"/>
      <c r="B204" s="86"/>
      <c r="C204" s="86"/>
      <c r="D204" s="86"/>
      <c r="E204" s="86"/>
      <c r="F204" s="86"/>
      <c r="G204" s="86"/>
      <c r="H204" s="86"/>
      <c r="I204" s="83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 spans="1:26" ht="12" customHeight="1" x14ac:dyDescent="0.25">
      <c r="A205" s="86"/>
      <c r="B205" s="86"/>
      <c r="C205" s="86"/>
      <c r="D205" s="86"/>
      <c r="E205" s="86"/>
      <c r="F205" s="86"/>
      <c r="G205" s="86"/>
      <c r="H205" s="86"/>
      <c r="I205" s="83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 spans="1:26" ht="12" customHeight="1" x14ac:dyDescent="0.25">
      <c r="A206" s="86"/>
      <c r="B206" s="86"/>
      <c r="C206" s="86"/>
      <c r="D206" s="86"/>
      <c r="E206" s="86"/>
      <c r="F206" s="86"/>
      <c r="G206" s="86"/>
      <c r="H206" s="86"/>
      <c r="I206" s="83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 spans="1:26" ht="12" customHeight="1" x14ac:dyDescent="0.25">
      <c r="A207" s="86"/>
      <c r="B207" s="86"/>
      <c r="C207" s="86"/>
      <c r="D207" s="86"/>
      <c r="E207" s="86"/>
      <c r="F207" s="86"/>
      <c r="G207" s="86"/>
      <c r="H207" s="86"/>
      <c r="I207" s="83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 spans="1:26" ht="12" customHeight="1" x14ac:dyDescent="0.25">
      <c r="A208" s="86"/>
      <c r="B208" s="86"/>
      <c r="C208" s="86"/>
      <c r="D208" s="86"/>
      <c r="E208" s="86"/>
      <c r="F208" s="86"/>
      <c r="G208" s="86"/>
      <c r="H208" s="86"/>
      <c r="I208" s="83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 spans="1:26" ht="12" customHeight="1" x14ac:dyDescent="0.25">
      <c r="A209" s="86"/>
      <c r="B209" s="86"/>
      <c r="C209" s="86"/>
      <c r="D209" s="86"/>
      <c r="E209" s="86"/>
      <c r="F209" s="86"/>
      <c r="G209" s="86"/>
      <c r="H209" s="86"/>
      <c r="I209" s="83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 spans="1:26" ht="12" customHeight="1" x14ac:dyDescent="0.25">
      <c r="A210" s="86"/>
      <c r="B210" s="86"/>
      <c r="C210" s="86"/>
      <c r="D210" s="86"/>
      <c r="E210" s="86"/>
      <c r="F210" s="86"/>
      <c r="G210" s="86"/>
      <c r="H210" s="86"/>
      <c r="I210" s="83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 spans="1:26" ht="12" customHeight="1" x14ac:dyDescent="0.25">
      <c r="A211" s="86"/>
      <c r="B211" s="86"/>
      <c r="C211" s="86"/>
      <c r="D211" s="86"/>
      <c r="E211" s="86"/>
      <c r="F211" s="86"/>
      <c r="G211" s="86"/>
      <c r="H211" s="86"/>
      <c r="I211" s="83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 spans="1:26" ht="12" customHeight="1" x14ac:dyDescent="0.25">
      <c r="A212" s="86"/>
      <c r="B212" s="86"/>
      <c r="C212" s="86"/>
      <c r="D212" s="86"/>
      <c r="E212" s="86"/>
      <c r="F212" s="86"/>
      <c r="G212" s="86"/>
      <c r="H212" s="86"/>
      <c r="I212" s="83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 spans="1:26" ht="12" customHeight="1" x14ac:dyDescent="0.25">
      <c r="A213" s="86"/>
      <c r="B213" s="86"/>
      <c r="C213" s="86"/>
      <c r="D213" s="86"/>
      <c r="E213" s="86"/>
      <c r="F213" s="86"/>
      <c r="G213" s="86"/>
      <c r="H213" s="86"/>
      <c r="I213" s="83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 spans="1:26" ht="12" customHeight="1" x14ac:dyDescent="0.25">
      <c r="A214" s="86"/>
      <c r="B214" s="86"/>
      <c r="C214" s="86"/>
      <c r="D214" s="86"/>
      <c r="E214" s="86"/>
      <c r="F214" s="86"/>
      <c r="G214" s="86"/>
      <c r="H214" s="86"/>
      <c r="I214" s="83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 spans="1:26" ht="12" customHeight="1" x14ac:dyDescent="0.25">
      <c r="A215" s="86"/>
      <c r="B215" s="86"/>
      <c r="C215" s="86"/>
      <c r="D215" s="86"/>
      <c r="E215" s="86"/>
      <c r="F215" s="86"/>
      <c r="G215" s="86"/>
      <c r="H215" s="86"/>
      <c r="I215" s="83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 spans="1:26" ht="12" customHeight="1" x14ac:dyDescent="0.25">
      <c r="A216" s="86"/>
      <c r="B216" s="86"/>
      <c r="C216" s="86"/>
      <c r="D216" s="86"/>
      <c r="E216" s="86"/>
      <c r="F216" s="86"/>
      <c r="G216" s="86"/>
      <c r="H216" s="86"/>
      <c r="I216" s="83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 spans="1:26" ht="12" customHeight="1" x14ac:dyDescent="0.25">
      <c r="A217" s="86"/>
      <c r="B217" s="86"/>
      <c r="C217" s="86"/>
      <c r="D217" s="86"/>
      <c r="E217" s="86"/>
      <c r="F217" s="86"/>
      <c r="G217" s="86"/>
      <c r="H217" s="86"/>
      <c r="I217" s="83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 spans="1:26" ht="12" customHeight="1" x14ac:dyDescent="0.25">
      <c r="A218" s="86"/>
      <c r="B218" s="86"/>
      <c r="C218" s="86"/>
      <c r="D218" s="86"/>
      <c r="E218" s="86"/>
      <c r="F218" s="86"/>
      <c r="G218" s="86"/>
      <c r="H218" s="86"/>
      <c r="I218" s="83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 spans="1:26" ht="12" customHeight="1" x14ac:dyDescent="0.25">
      <c r="A219" s="86"/>
      <c r="B219" s="86"/>
      <c r="C219" s="86"/>
      <c r="D219" s="86"/>
      <c r="E219" s="86"/>
      <c r="F219" s="86"/>
      <c r="G219" s="86"/>
      <c r="H219" s="86"/>
      <c r="I219" s="83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 spans="1:26" ht="12" customHeight="1" x14ac:dyDescent="0.25">
      <c r="A220" s="86"/>
      <c r="B220" s="86"/>
      <c r="C220" s="86"/>
      <c r="D220" s="86"/>
      <c r="E220" s="86"/>
      <c r="F220" s="86"/>
      <c r="G220" s="86"/>
      <c r="H220" s="86"/>
      <c r="I220" s="83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 spans="1:26" ht="12" customHeight="1" x14ac:dyDescent="0.25">
      <c r="A221" s="86"/>
      <c r="B221" s="86"/>
      <c r="C221" s="86"/>
      <c r="D221" s="86"/>
      <c r="E221" s="86"/>
      <c r="F221" s="86"/>
      <c r="G221" s="86"/>
      <c r="H221" s="86"/>
      <c r="I221" s="83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 spans="1:26" ht="12" customHeight="1" x14ac:dyDescent="0.25">
      <c r="A222" s="86"/>
      <c r="B222" s="86"/>
      <c r="C222" s="86"/>
      <c r="D222" s="86"/>
      <c r="E222" s="86"/>
      <c r="F222" s="86"/>
      <c r="G222" s="86"/>
      <c r="H222" s="86"/>
      <c r="I222" s="83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 spans="1:26" ht="12" customHeight="1" x14ac:dyDescent="0.25">
      <c r="A223" s="86"/>
      <c r="B223" s="86"/>
      <c r="C223" s="86"/>
      <c r="D223" s="86"/>
      <c r="E223" s="86"/>
      <c r="F223" s="86"/>
      <c r="G223" s="86"/>
      <c r="H223" s="86"/>
      <c r="I223" s="83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 spans="1:26" ht="12" customHeight="1" x14ac:dyDescent="0.25">
      <c r="A224" s="86"/>
      <c r="B224" s="86"/>
      <c r="C224" s="86"/>
      <c r="D224" s="86"/>
      <c r="E224" s="86"/>
      <c r="F224" s="86"/>
      <c r="G224" s="86"/>
      <c r="H224" s="86"/>
      <c r="I224" s="83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 spans="1:26" ht="12" customHeight="1" x14ac:dyDescent="0.25">
      <c r="A225" s="86"/>
      <c r="B225" s="86"/>
      <c r="C225" s="86"/>
      <c r="D225" s="86"/>
      <c r="E225" s="86"/>
      <c r="F225" s="86"/>
      <c r="G225" s="86"/>
      <c r="H225" s="86"/>
      <c r="I225" s="83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 spans="1:26" ht="12" customHeight="1" x14ac:dyDescent="0.25">
      <c r="A226" s="86"/>
      <c r="B226" s="86"/>
      <c r="C226" s="86"/>
      <c r="D226" s="86"/>
      <c r="E226" s="86"/>
      <c r="F226" s="86"/>
      <c r="G226" s="86"/>
      <c r="H226" s="86"/>
      <c r="I226" s="83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 spans="1:26" ht="15.75" customHeight="1" x14ac:dyDescent="0.25"/>
    <row r="228" spans="1:26" ht="15.75" customHeight="1" x14ac:dyDescent="0.25"/>
    <row r="229" spans="1:26" ht="15.75" customHeight="1" x14ac:dyDescent="0.25"/>
    <row r="230" spans="1:26" ht="15.75" customHeight="1" x14ac:dyDescent="0.25"/>
    <row r="231" spans="1:26" ht="15.75" customHeight="1" x14ac:dyDescent="0.25"/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59055118110236227" right="0.19685039370078741" top="0.59055118110236227" bottom="0.74803149606299213" header="0" footer="0"/>
  <pageSetup scale="75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1000"/>
  <sheetViews>
    <sheetView workbookViewId="0"/>
  </sheetViews>
  <sheetFormatPr baseColWidth="10" defaultColWidth="14.42578125" defaultRowHeight="15" customHeight="1" x14ac:dyDescent="0.25"/>
  <cols>
    <col min="1" max="2" width="10.7109375" customWidth="1"/>
    <col min="3" max="3" width="16.28515625" customWidth="1"/>
    <col min="4" max="4" width="24.5703125" customWidth="1"/>
    <col min="5" max="5" width="20.140625" customWidth="1"/>
    <col min="6" max="6" width="20.5703125" customWidth="1"/>
    <col min="7" max="7" width="21.28515625" customWidth="1"/>
    <col min="8" max="8" width="18.7109375" customWidth="1"/>
  </cols>
  <sheetData>
    <row r="1" spans="1:8" ht="60.75" customHeight="1" x14ac:dyDescent="0.25"/>
    <row r="2" spans="1:8" x14ac:dyDescent="0.25">
      <c r="A2" s="2" t="s">
        <v>155</v>
      </c>
      <c r="B2" s="2" t="s">
        <v>0</v>
      </c>
    </row>
    <row r="3" spans="1:8" x14ac:dyDescent="0.25">
      <c r="A3" s="2" t="s">
        <v>156</v>
      </c>
      <c r="B3" s="2" t="s">
        <v>259</v>
      </c>
    </row>
    <row r="4" spans="1:8" x14ac:dyDescent="0.25">
      <c r="A4" s="2" t="s">
        <v>158</v>
      </c>
      <c r="B4" s="75" t="s">
        <v>260</v>
      </c>
    </row>
    <row r="5" spans="1:8" x14ac:dyDescent="0.25">
      <c r="A5" s="2"/>
      <c r="B5" s="75"/>
    </row>
    <row r="6" spans="1:8" x14ac:dyDescent="0.25">
      <c r="A6" s="2"/>
      <c r="B6" s="75" t="s">
        <v>160</v>
      </c>
      <c r="D6" s="76" t="s">
        <v>161</v>
      </c>
    </row>
    <row r="7" spans="1:8" x14ac:dyDescent="0.25">
      <c r="A7" s="2"/>
      <c r="B7" s="75" t="s">
        <v>162</v>
      </c>
      <c r="D7" s="110">
        <v>38824118.100000001</v>
      </c>
    </row>
    <row r="8" spans="1:8" x14ac:dyDescent="0.25">
      <c r="A8" s="2"/>
      <c r="B8" s="75" t="s">
        <v>15</v>
      </c>
      <c r="D8" s="117">
        <v>32373000</v>
      </c>
    </row>
    <row r="9" spans="1:8" x14ac:dyDescent="0.25">
      <c r="A9" s="2"/>
      <c r="B9" s="78" t="s">
        <v>163</v>
      </c>
      <c r="C9" s="79"/>
      <c r="D9" s="65">
        <f>+D7-D8</f>
        <v>6451118.1000000015</v>
      </c>
    </row>
    <row r="10" spans="1:8" x14ac:dyDescent="0.25">
      <c r="A10" s="2"/>
      <c r="B10" s="75" t="s">
        <v>10</v>
      </c>
      <c r="D10" s="65">
        <v>0</v>
      </c>
    </row>
    <row r="11" spans="1:8" x14ac:dyDescent="0.25">
      <c r="A11" s="2"/>
      <c r="B11" s="78" t="s">
        <v>164</v>
      </c>
      <c r="C11" s="79"/>
      <c r="D11" s="80">
        <f>+D9-D10</f>
        <v>6451118.1000000015</v>
      </c>
    </row>
    <row r="13" spans="1:8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14" spans="1:8" x14ac:dyDescent="0.25">
      <c r="A14" s="94"/>
      <c r="B14" s="84"/>
      <c r="C14" s="83"/>
      <c r="D14" s="94"/>
      <c r="E14" s="118"/>
      <c r="F14" s="95"/>
      <c r="G14" s="95"/>
    </row>
    <row r="15" spans="1:8" x14ac:dyDescent="0.25">
      <c r="E15" s="65">
        <f t="shared" ref="E15:G15" si="0">SUM(E14)</f>
        <v>0</v>
      </c>
      <c r="F15" s="65">
        <f t="shared" si="0"/>
        <v>0</v>
      </c>
      <c r="G15" s="65">
        <f t="shared" si="0"/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H1000"/>
  <sheetViews>
    <sheetView workbookViewId="0">
      <selection sqref="A1:XFD1048576"/>
    </sheetView>
  </sheetViews>
  <sheetFormatPr baseColWidth="10" defaultColWidth="14.42578125" defaultRowHeight="15" customHeight="1" x14ac:dyDescent="0.25"/>
  <cols>
    <col min="1" max="2" width="10.7109375" customWidth="1"/>
    <col min="3" max="3" width="16.28515625" customWidth="1"/>
    <col min="4" max="4" width="24.5703125" customWidth="1"/>
    <col min="5" max="5" width="20.140625" customWidth="1"/>
    <col min="6" max="6" width="20.5703125" customWidth="1"/>
    <col min="7" max="7" width="21.28515625" customWidth="1"/>
    <col min="8" max="8" width="18.7109375" customWidth="1"/>
  </cols>
  <sheetData>
    <row r="2" spans="1:8" x14ac:dyDescent="0.25">
      <c r="A2" s="2" t="s">
        <v>155</v>
      </c>
      <c r="B2" s="2" t="s">
        <v>0</v>
      </c>
    </row>
    <row r="3" spans="1:8" x14ac:dyDescent="0.25">
      <c r="A3" s="2" t="s">
        <v>156</v>
      </c>
      <c r="B3" s="2" t="s">
        <v>261</v>
      </c>
    </row>
    <row r="4" spans="1:8" x14ac:dyDescent="0.25">
      <c r="A4" s="2" t="s">
        <v>158</v>
      </c>
      <c r="B4" s="75" t="s">
        <v>262</v>
      </c>
    </row>
    <row r="5" spans="1:8" x14ac:dyDescent="0.25">
      <c r="A5" s="2"/>
      <c r="B5" s="75"/>
    </row>
    <row r="6" spans="1:8" x14ac:dyDescent="0.25">
      <c r="A6" s="2"/>
      <c r="B6" s="75" t="s">
        <v>160</v>
      </c>
      <c r="D6" s="76" t="s">
        <v>161</v>
      </c>
    </row>
    <row r="7" spans="1:8" x14ac:dyDescent="0.25">
      <c r="A7" s="2"/>
      <c r="B7" s="75" t="s">
        <v>162</v>
      </c>
      <c r="D7" s="77">
        <v>3737883.4396000002</v>
      </c>
    </row>
    <row r="8" spans="1:8" x14ac:dyDescent="0.25">
      <c r="A8" s="2"/>
      <c r="B8" s="75" t="s">
        <v>15</v>
      </c>
      <c r="D8" s="88">
        <v>1868941.09</v>
      </c>
    </row>
    <row r="9" spans="1:8" x14ac:dyDescent="0.25">
      <c r="A9" s="2"/>
      <c r="B9" s="78" t="s">
        <v>163</v>
      </c>
      <c r="C9" s="79"/>
      <c r="D9" s="65">
        <f>+D7-D8</f>
        <v>1868942.3496000001</v>
      </c>
    </row>
    <row r="10" spans="1:8" x14ac:dyDescent="0.25">
      <c r="A10" s="2"/>
      <c r="B10" s="75" t="s">
        <v>10</v>
      </c>
      <c r="D10" s="65">
        <v>0</v>
      </c>
    </row>
    <row r="11" spans="1:8" x14ac:dyDescent="0.25">
      <c r="A11" s="2"/>
      <c r="B11" s="78" t="s">
        <v>164</v>
      </c>
      <c r="C11" s="79"/>
      <c r="D11" s="80">
        <f>+D9-D10</f>
        <v>1868942.3496000001</v>
      </c>
    </row>
    <row r="13" spans="1:8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14" spans="1:8" x14ac:dyDescent="0.25">
      <c r="A14" s="94"/>
      <c r="B14" s="84"/>
      <c r="C14" s="83"/>
      <c r="D14" s="94"/>
      <c r="E14" s="95"/>
      <c r="F14" s="95"/>
      <c r="G14" s="95"/>
    </row>
    <row r="15" spans="1:8" x14ac:dyDescent="0.25">
      <c r="E15" s="65">
        <f t="shared" ref="E15:G15" si="0">SUM(E14)</f>
        <v>0</v>
      </c>
      <c r="F15" s="65">
        <f t="shared" si="0"/>
        <v>0</v>
      </c>
      <c r="G15" s="65">
        <f t="shared" si="0"/>
        <v>0</v>
      </c>
    </row>
    <row r="21" customFormat="1" ht="15.75" customHeight="1" x14ac:dyDescent="0.25"/>
    <row r="22" customFormat="1" ht="15.75" customHeight="1" x14ac:dyDescent="0.25"/>
    <row r="23" customFormat="1" ht="15.75" customHeight="1" x14ac:dyDescent="0.25"/>
    <row r="24" customFormat="1" ht="15.75" customHeight="1" x14ac:dyDescent="0.25"/>
    <row r="25" customFormat="1" ht="15.75" customHeight="1" x14ac:dyDescent="0.25"/>
    <row r="26" customFormat="1" ht="15.75" customHeight="1" x14ac:dyDescent="0.25"/>
    <row r="27" customFormat="1" ht="15.75" customHeight="1" x14ac:dyDescent="0.25"/>
    <row r="28" customFormat="1" ht="15.75" customHeight="1" x14ac:dyDescent="0.25"/>
    <row r="29" customFormat="1" ht="15.75" customHeight="1" x14ac:dyDescent="0.25"/>
    <row r="30" customFormat="1" ht="15.75" customHeight="1" x14ac:dyDescent="0.25"/>
    <row r="31" customFormat="1" ht="15.75" customHeight="1" x14ac:dyDescent="0.25"/>
    <row r="32" customFormat="1" ht="15.75" customHeight="1" x14ac:dyDescent="0.25"/>
    <row r="33" customFormat="1" ht="15.75" customHeight="1" x14ac:dyDescent="0.25"/>
    <row r="34" customFormat="1" ht="15.75" customHeight="1" x14ac:dyDescent="0.25"/>
    <row r="35" customFormat="1" ht="15.75" customHeight="1" x14ac:dyDescent="0.25"/>
    <row r="36" customFormat="1" ht="15.75" customHeight="1" x14ac:dyDescent="0.25"/>
    <row r="37" customFormat="1" ht="15.75" customHeight="1" x14ac:dyDescent="0.25"/>
    <row r="38" customFormat="1" ht="15.75" customHeight="1" x14ac:dyDescent="0.25"/>
    <row r="39" customFormat="1" ht="15.75" customHeight="1" x14ac:dyDescent="0.25"/>
    <row r="40" customFormat="1" ht="15.75" customHeight="1" x14ac:dyDescent="0.25"/>
    <row r="41" customFormat="1" ht="15.75" customHeight="1" x14ac:dyDescent="0.25"/>
    <row r="42" customFormat="1" ht="15.75" customHeight="1" x14ac:dyDescent="0.25"/>
    <row r="43" customFormat="1" ht="15.75" customHeight="1" x14ac:dyDescent="0.25"/>
    <row r="44" customFormat="1" ht="15.75" customHeight="1" x14ac:dyDescent="0.25"/>
    <row r="45" customFormat="1" ht="15.75" customHeight="1" x14ac:dyDescent="0.25"/>
    <row r="46" customFormat="1" ht="15.75" customHeight="1" x14ac:dyDescent="0.25"/>
    <row r="47" customFormat="1" ht="15.75" customHeight="1" x14ac:dyDescent="0.25"/>
    <row r="48" customFormat="1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pageMargins left="0.7" right="0.7" top="0.75" bottom="0.75" header="0" footer="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6526F-B782-49E4-9832-0702D8F103C5}">
  <dimension ref="A1:H990"/>
  <sheetViews>
    <sheetView topLeftCell="E1" workbookViewId="0">
      <selection activeCell="G20" sqref="G20"/>
    </sheetView>
  </sheetViews>
  <sheetFormatPr baseColWidth="10" defaultColWidth="14.42578125" defaultRowHeight="15" x14ac:dyDescent="0.25"/>
  <cols>
    <col min="1" max="2" width="10.7109375" customWidth="1"/>
    <col min="3" max="3" width="16.28515625" customWidth="1"/>
    <col min="4" max="4" width="24.5703125" customWidth="1"/>
    <col min="5" max="5" width="20.140625" customWidth="1"/>
    <col min="6" max="6" width="20.5703125" customWidth="1"/>
    <col min="7" max="7" width="21.28515625" customWidth="1"/>
    <col min="8" max="8" width="18.7109375" customWidth="1"/>
  </cols>
  <sheetData>
    <row r="1" spans="1:8" ht="63.75" customHeight="1" x14ac:dyDescent="0.25"/>
    <row r="2" spans="1:8" x14ac:dyDescent="0.25">
      <c r="A2" s="2" t="s">
        <v>155</v>
      </c>
      <c r="B2" s="2" t="s">
        <v>0</v>
      </c>
    </row>
    <row r="3" spans="1:8" x14ac:dyDescent="0.25">
      <c r="A3" s="2" t="s">
        <v>156</v>
      </c>
      <c r="B3" s="2" t="s">
        <v>309</v>
      </c>
    </row>
    <row r="4" spans="1:8" x14ac:dyDescent="0.25">
      <c r="A4" s="2" t="s">
        <v>158</v>
      </c>
      <c r="B4" s="75" t="s">
        <v>308</v>
      </c>
    </row>
    <row r="5" spans="1:8" x14ac:dyDescent="0.25">
      <c r="A5" s="2"/>
      <c r="B5" s="75"/>
    </row>
    <row r="6" spans="1:8" x14ac:dyDescent="0.25">
      <c r="A6" s="2"/>
      <c r="B6" s="75" t="s">
        <v>160</v>
      </c>
      <c r="D6" s="76" t="s">
        <v>161</v>
      </c>
    </row>
    <row r="7" spans="1:8" x14ac:dyDescent="0.25">
      <c r="A7" s="2"/>
      <c r="B7" s="75" t="s">
        <v>162</v>
      </c>
      <c r="D7" s="77">
        <v>62149276.949999996</v>
      </c>
    </row>
    <row r="8" spans="1:8" ht="15.75" thickBot="1" x14ac:dyDescent="0.3">
      <c r="A8" s="2"/>
      <c r="B8" s="75" t="s">
        <v>15</v>
      </c>
      <c r="D8" s="88">
        <v>57294036.649999991</v>
      </c>
    </row>
    <row r="9" spans="1:8" x14ac:dyDescent="0.25">
      <c r="A9" s="2"/>
      <c r="B9" s="78" t="s">
        <v>163</v>
      </c>
      <c r="C9" s="79"/>
      <c r="D9" s="65">
        <v>3666090.1400000006</v>
      </c>
    </row>
    <row r="10" spans="1:8" ht="15.75" thickBot="1" x14ac:dyDescent="0.3">
      <c r="A10" s="2"/>
      <c r="B10" s="75" t="s">
        <v>10</v>
      </c>
      <c r="D10" s="65">
        <v>3666090.1400000006</v>
      </c>
    </row>
    <row r="11" spans="1:8" x14ac:dyDescent="0.25">
      <c r="A11" s="2"/>
      <c r="B11" s="78" t="s">
        <v>164</v>
      </c>
      <c r="C11" s="79"/>
      <c r="D11" s="80">
        <f>+D9-D10</f>
        <v>0</v>
      </c>
      <c r="G11" s="133"/>
    </row>
    <row r="13" spans="1:8" ht="27.75" customHeight="1" thickBot="1" x14ac:dyDescent="0.3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14" spans="1:8" ht="15.75" thickBot="1" x14ac:dyDescent="0.3">
      <c r="A14" s="94"/>
      <c r="B14" s="84"/>
      <c r="C14" s="83"/>
      <c r="D14" s="94"/>
      <c r="E14" s="95"/>
      <c r="F14" s="95"/>
      <c r="G14" s="95"/>
    </row>
    <row r="15" spans="1:8" x14ac:dyDescent="0.25">
      <c r="E15" s="65">
        <f t="shared" ref="E15:G15" si="0">SUM(E14)</f>
        <v>0</v>
      </c>
      <c r="F15" s="65">
        <f t="shared" si="0"/>
        <v>0</v>
      </c>
      <c r="G15" s="65">
        <f t="shared" si="0"/>
        <v>0</v>
      </c>
    </row>
    <row r="16" spans="1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H1000"/>
  <sheetViews>
    <sheetView workbookViewId="0"/>
  </sheetViews>
  <sheetFormatPr baseColWidth="10" defaultColWidth="14.42578125" defaultRowHeight="15" customHeight="1" x14ac:dyDescent="0.25"/>
  <cols>
    <col min="1" max="2" width="10.7109375" customWidth="1"/>
    <col min="3" max="3" width="16.28515625" customWidth="1"/>
    <col min="4" max="4" width="24.5703125" customWidth="1"/>
    <col min="5" max="5" width="20.140625" customWidth="1"/>
    <col min="6" max="6" width="20.5703125" customWidth="1"/>
    <col min="7" max="7" width="21.28515625" customWidth="1"/>
    <col min="8" max="8" width="18.7109375" customWidth="1"/>
  </cols>
  <sheetData>
    <row r="2" spans="1:8" x14ac:dyDescent="0.25">
      <c r="A2" s="2" t="s">
        <v>155</v>
      </c>
      <c r="B2" s="2" t="s">
        <v>0</v>
      </c>
    </row>
    <row r="3" spans="1:8" x14ac:dyDescent="0.25">
      <c r="A3" s="2" t="s">
        <v>156</v>
      </c>
      <c r="B3" s="2" t="s">
        <v>263</v>
      </c>
    </row>
    <row r="4" spans="1:8" x14ac:dyDescent="0.25">
      <c r="A4" s="2" t="s">
        <v>158</v>
      </c>
      <c r="B4" s="75" t="s">
        <v>159</v>
      </c>
    </row>
    <row r="5" spans="1:8" x14ac:dyDescent="0.25">
      <c r="A5" s="2"/>
      <c r="B5" s="75"/>
    </row>
    <row r="6" spans="1:8" x14ac:dyDescent="0.25">
      <c r="A6" s="2"/>
      <c r="B6" s="75" t="s">
        <v>160</v>
      </c>
      <c r="D6" s="76" t="s">
        <v>161</v>
      </c>
    </row>
    <row r="7" spans="1:8" x14ac:dyDescent="0.25">
      <c r="A7" s="2"/>
      <c r="B7" s="75" t="s">
        <v>162</v>
      </c>
      <c r="D7" s="77">
        <v>82516469.251599997</v>
      </c>
    </row>
    <row r="8" spans="1:8" x14ac:dyDescent="0.25">
      <c r="A8" s="2"/>
      <c r="B8" s="75" t="s">
        <v>15</v>
      </c>
      <c r="D8" s="88">
        <f>80936447.22+250000</f>
        <v>81186447.219999999</v>
      </c>
    </row>
    <row r="9" spans="1:8" x14ac:dyDescent="0.25">
      <c r="A9" s="2"/>
      <c r="B9" s="78" t="s">
        <v>163</v>
      </c>
      <c r="C9" s="79"/>
      <c r="D9" s="65">
        <f>+D7-D8</f>
        <v>1330022.0315999985</v>
      </c>
    </row>
    <row r="10" spans="1:8" x14ac:dyDescent="0.25">
      <c r="A10" s="2"/>
      <c r="B10" s="75" t="s">
        <v>10</v>
      </c>
      <c r="D10" s="65">
        <v>0</v>
      </c>
    </row>
    <row r="11" spans="1:8" x14ac:dyDescent="0.25">
      <c r="A11" s="2"/>
      <c r="B11" s="78" t="s">
        <v>164</v>
      </c>
      <c r="C11" s="79"/>
      <c r="D11" s="80">
        <f>+D9-D10</f>
        <v>1330022.0315999985</v>
      </c>
    </row>
    <row r="13" spans="1:8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2:H1000"/>
  <sheetViews>
    <sheetView workbookViewId="0"/>
  </sheetViews>
  <sheetFormatPr baseColWidth="10" defaultColWidth="14.42578125" defaultRowHeight="15" customHeight="1" x14ac:dyDescent="0.25"/>
  <cols>
    <col min="1" max="2" width="10.7109375" customWidth="1"/>
    <col min="3" max="3" width="16.28515625" customWidth="1"/>
    <col min="4" max="4" width="24.5703125" customWidth="1"/>
    <col min="5" max="5" width="20.140625" customWidth="1"/>
    <col min="6" max="6" width="20.5703125" customWidth="1"/>
    <col min="7" max="7" width="21.28515625" customWidth="1"/>
    <col min="8" max="8" width="18.7109375" customWidth="1"/>
  </cols>
  <sheetData>
    <row r="2" spans="1:8" x14ac:dyDescent="0.25">
      <c r="A2" s="2" t="s">
        <v>155</v>
      </c>
      <c r="B2" s="2" t="s">
        <v>0</v>
      </c>
    </row>
    <row r="3" spans="1:8" x14ac:dyDescent="0.25">
      <c r="A3" s="2" t="s">
        <v>156</v>
      </c>
      <c r="B3" s="2" t="s">
        <v>264</v>
      </c>
    </row>
    <row r="4" spans="1:8" x14ac:dyDescent="0.25">
      <c r="A4" s="2" t="s">
        <v>158</v>
      </c>
      <c r="B4" s="75" t="s">
        <v>265</v>
      </c>
    </row>
    <row r="5" spans="1:8" x14ac:dyDescent="0.25">
      <c r="A5" s="2"/>
      <c r="B5" s="75"/>
    </row>
    <row r="6" spans="1:8" x14ac:dyDescent="0.25">
      <c r="A6" s="2"/>
      <c r="B6" s="75" t="s">
        <v>160</v>
      </c>
      <c r="D6" s="76" t="s">
        <v>161</v>
      </c>
    </row>
    <row r="7" spans="1:8" x14ac:dyDescent="0.25">
      <c r="A7" s="2"/>
      <c r="B7" s="75" t="s">
        <v>162</v>
      </c>
      <c r="D7" s="77">
        <v>2185946.1660000002</v>
      </c>
    </row>
    <row r="8" spans="1:8" x14ac:dyDescent="0.25">
      <c r="A8" s="2"/>
      <c r="B8" s="75" t="s">
        <v>15</v>
      </c>
      <c r="D8" s="88">
        <v>1160000</v>
      </c>
    </row>
    <row r="9" spans="1:8" x14ac:dyDescent="0.25">
      <c r="A9" s="2"/>
      <c r="B9" s="78" t="s">
        <v>163</v>
      </c>
      <c r="C9" s="79"/>
      <c r="D9" s="65">
        <f>+D7-D8</f>
        <v>1025946.1660000002</v>
      </c>
    </row>
    <row r="10" spans="1:8" x14ac:dyDescent="0.25">
      <c r="A10" s="2"/>
      <c r="B10" s="75" t="s">
        <v>10</v>
      </c>
      <c r="D10" s="65">
        <v>0</v>
      </c>
    </row>
    <row r="11" spans="1:8" x14ac:dyDescent="0.25">
      <c r="A11" s="2"/>
      <c r="B11" s="78" t="s">
        <v>164</v>
      </c>
      <c r="C11" s="79"/>
      <c r="D11" s="80">
        <f>+D9-D10</f>
        <v>1025946.1660000002</v>
      </c>
    </row>
    <row r="13" spans="1:8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1000"/>
  <sheetViews>
    <sheetView workbookViewId="0">
      <selection activeCell="B5" sqref="B5"/>
    </sheetView>
  </sheetViews>
  <sheetFormatPr baseColWidth="10" defaultColWidth="14.42578125" defaultRowHeight="15" customHeight="1" x14ac:dyDescent="0.25"/>
  <cols>
    <col min="1" max="2" width="10.7109375" customWidth="1"/>
    <col min="3" max="3" width="16.28515625" customWidth="1"/>
    <col min="4" max="4" width="19.5703125" customWidth="1"/>
    <col min="5" max="5" width="20.140625" customWidth="1"/>
    <col min="6" max="6" width="22.85546875" customWidth="1"/>
    <col min="7" max="7" width="22.5703125" customWidth="1"/>
    <col min="8" max="8" width="18.7109375" customWidth="1"/>
  </cols>
  <sheetData>
    <row r="1" spans="1:8" ht="67.5" customHeight="1" x14ac:dyDescent="0.25"/>
    <row r="2" spans="1:8" x14ac:dyDescent="0.25">
      <c r="A2" s="2" t="s">
        <v>155</v>
      </c>
      <c r="B2" s="2" t="s">
        <v>0</v>
      </c>
    </row>
    <row r="3" spans="1:8" x14ac:dyDescent="0.25">
      <c r="A3" s="2" t="s">
        <v>156</v>
      </c>
      <c r="B3" s="2" t="s">
        <v>266</v>
      </c>
    </row>
    <row r="4" spans="1:8" x14ac:dyDescent="0.25">
      <c r="A4" s="2" t="s">
        <v>158</v>
      </c>
      <c r="B4" s="124" t="s">
        <v>305</v>
      </c>
    </row>
    <row r="5" spans="1:8" x14ac:dyDescent="0.25">
      <c r="A5" s="2"/>
      <c r="B5" s="75"/>
    </row>
    <row r="6" spans="1:8" x14ac:dyDescent="0.25">
      <c r="A6" s="2"/>
      <c r="B6" s="75" t="s">
        <v>160</v>
      </c>
      <c r="D6" s="76" t="s">
        <v>161</v>
      </c>
    </row>
    <row r="7" spans="1:8" x14ac:dyDescent="0.25">
      <c r="A7" s="2"/>
      <c r="B7" s="75" t="s">
        <v>162</v>
      </c>
      <c r="D7" s="77">
        <v>20772761.600000001</v>
      </c>
    </row>
    <row r="8" spans="1:8" x14ac:dyDescent="0.25">
      <c r="A8" s="2"/>
      <c r="B8" s="75" t="s">
        <v>15</v>
      </c>
      <c r="D8" s="109">
        <v>16914241.030000001</v>
      </c>
    </row>
    <row r="9" spans="1:8" x14ac:dyDescent="0.25">
      <c r="A9" s="2"/>
      <c r="B9" s="78" t="s">
        <v>163</v>
      </c>
      <c r="C9" s="79"/>
      <c r="D9" s="80">
        <f>+D7-D8</f>
        <v>3858520.5700000003</v>
      </c>
    </row>
    <row r="10" spans="1:8" x14ac:dyDescent="0.25">
      <c r="A10" s="2"/>
      <c r="B10" s="75" t="s">
        <v>10</v>
      </c>
      <c r="D10" s="65">
        <v>0</v>
      </c>
    </row>
    <row r="11" spans="1:8" x14ac:dyDescent="0.25">
      <c r="A11" s="2"/>
      <c r="B11" s="78" t="s">
        <v>164</v>
      </c>
      <c r="C11" s="79"/>
      <c r="D11" s="80">
        <f>+D9-D10</f>
        <v>3858520.5700000003</v>
      </c>
    </row>
    <row r="13" spans="1:8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14" spans="1:8" ht="15" customHeight="1" x14ac:dyDescent="0.25">
      <c r="A14" s="94"/>
      <c r="B14" s="84"/>
      <c r="C14" s="83"/>
      <c r="D14" s="1"/>
      <c r="E14" s="95"/>
      <c r="F14" s="95"/>
      <c r="G14" s="95"/>
    </row>
    <row r="15" spans="1:8" ht="15" customHeight="1" x14ac:dyDescent="0.25">
      <c r="E15" s="65">
        <f t="shared" ref="E15:G15" si="0">SUM(E14)</f>
        <v>0</v>
      </c>
      <c r="F15" s="65">
        <f t="shared" si="0"/>
        <v>0</v>
      </c>
      <c r="G15" s="65">
        <f t="shared" si="0"/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999"/>
  <sheetViews>
    <sheetView workbookViewId="0">
      <selection activeCell="H22" sqref="H22"/>
    </sheetView>
  </sheetViews>
  <sheetFormatPr baseColWidth="10" defaultColWidth="14.42578125" defaultRowHeight="15" customHeight="1" x14ac:dyDescent="0.25"/>
  <cols>
    <col min="1" max="2" width="10.7109375" customWidth="1"/>
    <col min="3" max="3" width="16.28515625" customWidth="1"/>
    <col min="4" max="4" width="19.5703125" customWidth="1"/>
    <col min="5" max="5" width="20.140625" customWidth="1"/>
    <col min="6" max="6" width="22.85546875" customWidth="1"/>
    <col min="7" max="7" width="22.5703125" customWidth="1"/>
    <col min="8" max="8" width="18.7109375" customWidth="1"/>
  </cols>
  <sheetData>
    <row r="1" spans="1:8" ht="64.5" customHeight="1" x14ac:dyDescent="0.25"/>
    <row r="2" spans="1:8" x14ac:dyDescent="0.25">
      <c r="A2" s="2" t="s">
        <v>155</v>
      </c>
      <c r="B2" s="2" t="s">
        <v>0</v>
      </c>
    </row>
    <row r="3" spans="1:8" x14ac:dyDescent="0.25">
      <c r="A3" s="2" t="s">
        <v>156</v>
      </c>
      <c r="B3" s="2" t="s">
        <v>268</v>
      </c>
    </row>
    <row r="4" spans="1:8" x14ac:dyDescent="0.25">
      <c r="A4" s="2" t="s">
        <v>158</v>
      </c>
      <c r="B4" s="75" t="s">
        <v>207</v>
      </c>
    </row>
    <row r="5" spans="1:8" x14ac:dyDescent="0.25">
      <c r="A5" s="2"/>
      <c r="B5" s="75"/>
    </row>
    <row r="6" spans="1:8" x14ac:dyDescent="0.25">
      <c r="A6" s="2"/>
      <c r="B6" s="75" t="s">
        <v>160</v>
      </c>
      <c r="D6" s="76" t="s">
        <v>161</v>
      </c>
    </row>
    <row r="7" spans="1:8" x14ac:dyDescent="0.25">
      <c r="A7" s="2"/>
      <c r="B7" s="75" t="s">
        <v>162</v>
      </c>
      <c r="D7" s="77">
        <v>284540.1004</v>
      </c>
    </row>
    <row r="8" spans="1:8" x14ac:dyDescent="0.25">
      <c r="A8" s="2"/>
      <c r="B8" s="75" t="s">
        <v>15</v>
      </c>
      <c r="D8" s="109">
        <f>230616.52+11396.49</f>
        <v>242013.00999999998</v>
      </c>
    </row>
    <row r="9" spans="1:8" x14ac:dyDescent="0.25">
      <c r="A9" s="2"/>
      <c r="B9" s="78" t="s">
        <v>163</v>
      </c>
      <c r="C9" s="79"/>
      <c r="D9" s="80">
        <f>+D7-D8</f>
        <v>42527.090400000016</v>
      </c>
    </row>
    <row r="10" spans="1:8" x14ac:dyDescent="0.25">
      <c r="A10" s="2"/>
      <c r="B10" s="75" t="s">
        <v>10</v>
      </c>
      <c r="D10" s="65">
        <v>0</v>
      </c>
    </row>
    <row r="11" spans="1:8" x14ac:dyDescent="0.25">
      <c r="A11" s="2"/>
      <c r="B11" s="78" t="s">
        <v>164</v>
      </c>
      <c r="C11" s="79"/>
      <c r="D11" s="80">
        <f>+D9-D10</f>
        <v>42527.090400000016</v>
      </c>
    </row>
    <row r="13" spans="1:8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14" spans="1:8" x14ac:dyDescent="0.25">
      <c r="A14" s="94"/>
      <c r="B14" s="84"/>
      <c r="C14" s="83"/>
      <c r="D14" s="86"/>
      <c r="E14" s="95"/>
      <c r="F14" s="95"/>
      <c r="G14" s="95"/>
    </row>
    <row r="15" spans="1:8" x14ac:dyDescent="0.25">
      <c r="E15" s="65">
        <f t="shared" ref="E15:G15" si="0">SUM(E14)</f>
        <v>0</v>
      </c>
      <c r="F15" s="65">
        <f t="shared" si="0"/>
        <v>0</v>
      </c>
      <c r="G15" s="65">
        <f t="shared" si="0"/>
        <v>0</v>
      </c>
    </row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1000"/>
  <sheetViews>
    <sheetView workbookViewId="0"/>
  </sheetViews>
  <sheetFormatPr baseColWidth="10" defaultColWidth="14.42578125" defaultRowHeight="15" customHeight="1" x14ac:dyDescent="0.25"/>
  <cols>
    <col min="1" max="1" width="10.7109375" customWidth="1"/>
    <col min="2" max="2" width="15.85546875" customWidth="1"/>
    <col min="3" max="3" width="21.42578125" customWidth="1"/>
    <col min="4" max="4" width="30.42578125" customWidth="1"/>
    <col min="5" max="5" width="20.140625" customWidth="1"/>
    <col min="6" max="6" width="20.5703125" customWidth="1"/>
    <col min="7" max="7" width="20.42578125" customWidth="1"/>
  </cols>
  <sheetData>
    <row r="1" spans="1:7" ht="62.25" customHeight="1" x14ac:dyDescent="0.25"/>
    <row r="2" spans="1:7" x14ac:dyDescent="0.25">
      <c r="A2" s="2" t="s">
        <v>155</v>
      </c>
      <c r="B2" s="2" t="s">
        <v>0</v>
      </c>
    </row>
    <row r="3" spans="1:7" x14ac:dyDescent="0.25">
      <c r="A3" s="2" t="s">
        <v>156</v>
      </c>
      <c r="B3" s="2" t="s">
        <v>269</v>
      </c>
    </row>
    <row r="4" spans="1:7" x14ac:dyDescent="0.25">
      <c r="A4" s="2" t="s">
        <v>158</v>
      </c>
      <c r="B4" s="75" t="s">
        <v>170</v>
      </c>
    </row>
    <row r="5" spans="1:7" x14ac:dyDescent="0.25">
      <c r="A5" s="2"/>
      <c r="B5" s="75"/>
    </row>
    <row r="6" spans="1:7" x14ac:dyDescent="0.25">
      <c r="A6" s="2"/>
      <c r="B6" s="75" t="s">
        <v>160</v>
      </c>
      <c r="D6" s="76" t="s">
        <v>161</v>
      </c>
    </row>
    <row r="7" spans="1:7" x14ac:dyDescent="0.25">
      <c r="A7" s="2"/>
      <c r="B7" s="75" t="s">
        <v>162</v>
      </c>
      <c r="D7" s="77">
        <v>31198824.404799998</v>
      </c>
    </row>
    <row r="8" spans="1:7" x14ac:dyDescent="0.25">
      <c r="A8" s="2"/>
      <c r="B8" s="75" t="s">
        <v>15</v>
      </c>
      <c r="D8" s="99">
        <v>30357848.590000004</v>
      </c>
      <c r="E8" s="6"/>
      <c r="F8" s="6"/>
    </row>
    <row r="9" spans="1:7" x14ac:dyDescent="0.25">
      <c r="A9" s="2"/>
      <c r="B9" s="78" t="s">
        <v>163</v>
      </c>
      <c r="C9" s="79"/>
      <c r="D9" s="80">
        <f>+D7-D8</f>
        <v>840975.81479999423</v>
      </c>
    </row>
    <row r="10" spans="1:7" x14ac:dyDescent="0.25">
      <c r="A10" s="2"/>
      <c r="B10" s="75" t="s">
        <v>224</v>
      </c>
      <c r="D10" s="115">
        <f>+D7*10%-1022560.39-137437.23-1322969.33-243599.63</f>
        <v>393315.86047999968</v>
      </c>
    </row>
    <row r="11" spans="1:7" x14ac:dyDescent="0.25">
      <c r="A11" s="2"/>
      <c r="B11" s="78" t="s">
        <v>164</v>
      </c>
      <c r="C11" s="79"/>
      <c r="D11" s="80">
        <f>+D9-D10</f>
        <v>447659.95431999455</v>
      </c>
    </row>
    <row r="13" spans="1:7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</row>
    <row r="14" spans="1:7" ht="18" customHeight="1" x14ac:dyDescent="0.25">
      <c r="A14" s="94"/>
      <c r="B14" s="84"/>
      <c r="C14" s="83"/>
      <c r="D14" s="86"/>
      <c r="E14" s="90"/>
      <c r="F14" s="90"/>
      <c r="G14" s="90"/>
    </row>
    <row r="15" spans="1:7" x14ac:dyDescent="0.25">
      <c r="E15" s="65">
        <f t="shared" ref="E15:G15" si="0">SUM(E14)</f>
        <v>0</v>
      </c>
      <c r="F15" s="65">
        <f t="shared" si="0"/>
        <v>0</v>
      </c>
      <c r="G15" s="65">
        <f t="shared" si="0"/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9055118110236227" right="0.59055118110236227" top="0.59055118110236227" bottom="0.74803149606299213" header="0" footer="0"/>
  <pageSetup scale="90"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1000"/>
  <sheetViews>
    <sheetView workbookViewId="0"/>
  </sheetViews>
  <sheetFormatPr baseColWidth="10" defaultColWidth="14.42578125" defaultRowHeight="15" customHeight="1" x14ac:dyDescent="0.25"/>
  <cols>
    <col min="1" max="1" width="10.7109375" customWidth="1"/>
    <col min="2" max="2" width="15.85546875" customWidth="1"/>
    <col min="3" max="3" width="21.42578125" customWidth="1"/>
    <col min="4" max="4" width="24.28515625" customWidth="1"/>
    <col min="5" max="5" width="20.140625" customWidth="1"/>
    <col min="6" max="6" width="20.5703125" customWidth="1"/>
    <col min="7" max="7" width="20.42578125" customWidth="1"/>
  </cols>
  <sheetData>
    <row r="1" spans="1:7" ht="62.25" customHeight="1" x14ac:dyDescent="0.25"/>
    <row r="2" spans="1:7" x14ac:dyDescent="0.25">
      <c r="A2" s="2" t="s">
        <v>155</v>
      </c>
      <c r="B2" s="2" t="s">
        <v>0</v>
      </c>
    </row>
    <row r="3" spans="1:7" x14ac:dyDescent="0.25">
      <c r="A3" s="2" t="s">
        <v>156</v>
      </c>
      <c r="B3" s="2" t="s">
        <v>270</v>
      </c>
    </row>
    <row r="4" spans="1:7" x14ac:dyDescent="0.25">
      <c r="A4" s="2" t="s">
        <v>158</v>
      </c>
      <c r="B4" s="75" t="s">
        <v>170</v>
      </c>
    </row>
    <row r="5" spans="1:7" x14ac:dyDescent="0.25">
      <c r="A5" s="2"/>
      <c r="B5" s="75"/>
    </row>
    <row r="6" spans="1:7" x14ac:dyDescent="0.25">
      <c r="A6" s="2"/>
      <c r="B6" s="75" t="s">
        <v>160</v>
      </c>
      <c r="D6" s="76" t="s">
        <v>161</v>
      </c>
    </row>
    <row r="7" spans="1:7" x14ac:dyDescent="0.25">
      <c r="A7" s="2"/>
      <c r="B7" s="75" t="s">
        <v>162</v>
      </c>
      <c r="D7" s="77">
        <f>209941.82*1.16</f>
        <v>243532.51119999998</v>
      </c>
    </row>
    <row r="8" spans="1:7" x14ac:dyDescent="0.25">
      <c r="A8" s="2"/>
      <c r="B8" s="75" t="s">
        <v>15</v>
      </c>
      <c r="D8" s="99">
        <v>170472.59</v>
      </c>
      <c r="E8" s="6"/>
      <c r="F8" s="6"/>
    </row>
    <row r="9" spans="1:7" x14ac:dyDescent="0.25">
      <c r="A9" s="2"/>
      <c r="B9" s="78" t="s">
        <v>163</v>
      </c>
      <c r="C9" s="79"/>
      <c r="D9" s="80">
        <f>+D7-D8</f>
        <v>73059.921199999982</v>
      </c>
    </row>
    <row r="10" spans="1:7" x14ac:dyDescent="0.25">
      <c r="A10" s="2"/>
      <c r="B10" s="75" t="s">
        <v>224</v>
      </c>
      <c r="D10" s="115">
        <v>0</v>
      </c>
    </row>
    <row r="11" spans="1:7" x14ac:dyDescent="0.25">
      <c r="A11" s="2"/>
      <c r="B11" s="78" t="s">
        <v>164</v>
      </c>
      <c r="C11" s="79"/>
      <c r="D11" s="80">
        <f>+D9-D10</f>
        <v>73059.921199999982</v>
      </c>
    </row>
    <row r="13" spans="1:7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</row>
    <row r="14" spans="1:7" ht="18" customHeight="1" x14ac:dyDescent="0.25">
      <c r="A14" s="94"/>
      <c r="B14" s="84"/>
      <c r="C14" s="83"/>
      <c r="D14" s="86"/>
      <c r="E14" s="90"/>
      <c r="F14" s="90"/>
      <c r="G14" s="90"/>
    </row>
    <row r="15" spans="1:7" x14ac:dyDescent="0.25">
      <c r="E15" s="65">
        <f t="shared" ref="E15:G15" si="0">SUM(E14)</f>
        <v>0</v>
      </c>
      <c r="F15" s="65">
        <f t="shared" si="0"/>
        <v>0</v>
      </c>
      <c r="G15" s="65">
        <f t="shared" si="0"/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1000"/>
  <sheetViews>
    <sheetView workbookViewId="0"/>
  </sheetViews>
  <sheetFormatPr baseColWidth="10" defaultColWidth="14.42578125" defaultRowHeight="15" customHeight="1" x14ac:dyDescent="0.25"/>
  <cols>
    <col min="1" max="2" width="10.7109375" customWidth="1"/>
    <col min="3" max="3" width="16.28515625" customWidth="1"/>
    <col min="4" max="4" width="19.5703125" customWidth="1"/>
    <col min="5" max="5" width="20.140625" customWidth="1"/>
    <col min="6" max="6" width="22.85546875" customWidth="1"/>
    <col min="7" max="7" width="22.5703125" customWidth="1"/>
    <col min="8" max="8" width="18.7109375" customWidth="1"/>
  </cols>
  <sheetData>
    <row r="1" spans="1:8" ht="64.5" customHeight="1" x14ac:dyDescent="0.25"/>
    <row r="2" spans="1:8" x14ac:dyDescent="0.25">
      <c r="A2" s="2" t="s">
        <v>155</v>
      </c>
      <c r="B2" s="2" t="s">
        <v>0</v>
      </c>
    </row>
    <row r="3" spans="1:8" x14ac:dyDescent="0.25">
      <c r="A3" s="2" t="s">
        <v>156</v>
      </c>
      <c r="B3" s="2" t="s">
        <v>271</v>
      </c>
    </row>
    <row r="4" spans="1:8" x14ac:dyDescent="0.25">
      <c r="A4" s="2" t="s">
        <v>158</v>
      </c>
      <c r="B4" s="75" t="s">
        <v>272</v>
      </c>
    </row>
    <row r="5" spans="1:8" x14ac:dyDescent="0.25">
      <c r="A5" s="2"/>
      <c r="B5" s="75"/>
    </row>
    <row r="6" spans="1:8" x14ac:dyDescent="0.25">
      <c r="A6" s="2"/>
      <c r="B6" s="75" t="s">
        <v>160</v>
      </c>
      <c r="D6" s="76" t="s">
        <v>161</v>
      </c>
    </row>
    <row r="7" spans="1:8" x14ac:dyDescent="0.25">
      <c r="A7" s="2"/>
      <c r="B7" s="75" t="s">
        <v>162</v>
      </c>
      <c r="D7" s="77">
        <v>81729902.489999995</v>
      </c>
    </row>
    <row r="8" spans="1:8" x14ac:dyDescent="0.25">
      <c r="A8" s="2"/>
      <c r="B8" s="75" t="s">
        <v>15</v>
      </c>
      <c r="D8" s="90">
        <v>74390372.680000007</v>
      </c>
    </row>
    <row r="9" spans="1:8" x14ac:dyDescent="0.25">
      <c r="A9" s="2"/>
      <c r="B9" s="78" t="s">
        <v>163</v>
      </c>
      <c r="C9" s="79"/>
      <c r="D9" s="65">
        <f>+D7-D8</f>
        <v>7339529.8099999875</v>
      </c>
    </row>
    <row r="10" spans="1:8" x14ac:dyDescent="0.25">
      <c r="A10" s="2"/>
      <c r="B10" s="75" t="s">
        <v>10</v>
      </c>
      <c r="D10" s="65">
        <v>0</v>
      </c>
    </row>
    <row r="11" spans="1:8" x14ac:dyDescent="0.25">
      <c r="A11" s="2"/>
      <c r="B11" s="78" t="s">
        <v>164</v>
      </c>
      <c r="C11" s="79"/>
      <c r="D11" s="80">
        <f>+D9-D10</f>
        <v>7339529.8099999875</v>
      </c>
    </row>
    <row r="13" spans="1:8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14" spans="1:8" x14ac:dyDescent="0.25">
      <c r="E14" s="95"/>
      <c r="F14" s="95"/>
      <c r="G14" s="95"/>
    </row>
    <row r="15" spans="1:8" x14ac:dyDescent="0.25">
      <c r="E15" s="65">
        <f t="shared" ref="E15:G15" si="0">SUM(E14)</f>
        <v>0</v>
      </c>
      <c r="F15" s="65">
        <f t="shared" si="0"/>
        <v>0</v>
      </c>
      <c r="G15" s="65">
        <f t="shared" si="0"/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Z1000"/>
  <sheetViews>
    <sheetView workbookViewId="0"/>
  </sheetViews>
  <sheetFormatPr baseColWidth="10" defaultColWidth="14.42578125" defaultRowHeight="15" customHeight="1" x14ac:dyDescent="0.25"/>
  <cols>
    <col min="1" max="1" width="10.7109375" customWidth="1"/>
    <col min="2" max="2" width="14" customWidth="1"/>
    <col min="3" max="3" width="16.28515625" customWidth="1"/>
    <col min="4" max="4" width="19.5703125" customWidth="1"/>
    <col min="5" max="5" width="20.140625" customWidth="1"/>
    <col min="6" max="6" width="22.85546875" customWidth="1"/>
    <col min="7" max="7" width="22.5703125" customWidth="1"/>
    <col min="8" max="8" width="18.7109375" customWidth="1"/>
    <col min="9" max="26" width="10.7109375" customWidth="1"/>
  </cols>
  <sheetData>
    <row r="1" spans="1:26" ht="62.25" customHeight="1" x14ac:dyDescent="0.25"/>
    <row r="2" spans="1:26" x14ac:dyDescent="0.25">
      <c r="A2" s="2" t="s">
        <v>155</v>
      </c>
      <c r="B2" s="2" t="s">
        <v>0</v>
      </c>
    </row>
    <row r="3" spans="1:26" x14ac:dyDescent="0.25">
      <c r="A3" s="2" t="s">
        <v>156</v>
      </c>
      <c r="B3" s="2" t="s">
        <v>273</v>
      </c>
    </row>
    <row r="4" spans="1:26" x14ac:dyDescent="0.25">
      <c r="A4" s="2" t="s">
        <v>158</v>
      </c>
      <c r="B4" s="75" t="s">
        <v>201</v>
      </c>
    </row>
    <row r="5" spans="1:26" x14ac:dyDescent="0.25">
      <c r="A5" s="2"/>
      <c r="B5" s="75"/>
    </row>
    <row r="6" spans="1:26" x14ac:dyDescent="0.25">
      <c r="A6" s="2"/>
      <c r="B6" s="75" t="s">
        <v>160</v>
      </c>
      <c r="D6" s="76" t="s">
        <v>161</v>
      </c>
    </row>
    <row r="7" spans="1:26" x14ac:dyDescent="0.25">
      <c r="A7" s="2"/>
      <c r="B7" s="75" t="s">
        <v>162</v>
      </c>
      <c r="D7" s="6">
        <v>17197639.055599999</v>
      </c>
    </row>
    <row r="8" spans="1:26" x14ac:dyDescent="0.25">
      <c r="A8" s="2"/>
      <c r="B8" s="75" t="s">
        <v>15</v>
      </c>
      <c r="D8" s="109">
        <v>17197636.229999997</v>
      </c>
    </row>
    <row r="9" spans="1:26" x14ac:dyDescent="0.25">
      <c r="A9" s="2"/>
      <c r="B9" s="78" t="s">
        <v>163</v>
      </c>
      <c r="C9" s="79"/>
      <c r="D9" s="80">
        <f>+D7-D8</f>
        <v>2.8256000019609928</v>
      </c>
    </row>
    <row r="10" spans="1:26" x14ac:dyDescent="0.25">
      <c r="A10" s="2"/>
      <c r="B10" s="75" t="s">
        <v>10</v>
      </c>
      <c r="D10" s="65">
        <v>0</v>
      </c>
    </row>
    <row r="11" spans="1:26" x14ac:dyDescent="0.25">
      <c r="A11" s="2"/>
      <c r="B11" s="78" t="s">
        <v>164</v>
      </c>
      <c r="C11" s="79"/>
      <c r="D11" s="80">
        <f>+D9-D10</f>
        <v>2.8256000019609928</v>
      </c>
    </row>
    <row r="13" spans="1:26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14" spans="1:26" ht="16.5" customHeight="1" x14ac:dyDescent="0.25">
      <c r="A14" s="83"/>
      <c r="B14" s="84"/>
      <c r="C14" s="83"/>
      <c r="D14" s="86"/>
      <c r="E14" s="85"/>
      <c r="F14" s="85"/>
      <c r="G14" s="85"/>
      <c r="H14" s="87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spans="1:26" x14ac:dyDescent="0.25">
      <c r="E15" s="115">
        <f t="shared" ref="E15:G15" si="0">SUM(E14)</f>
        <v>0</v>
      </c>
      <c r="F15" s="115">
        <f t="shared" si="0"/>
        <v>0</v>
      </c>
      <c r="G15" s="115">
        <f t="shared" si="0"/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9055118110236227" right="0.39370078740157483" top="0.59055118110236227" bottom="0.59055118110236227" header="0" footer="0"/>
  <pageSetup scale="85"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1000"/>
  <sheetViews>
    <sheetView workbookViewId="0"/>
  </sheetViews>
  <sheetFormatPr baseColWidth="10" defaultColWidth="14.42578125" defaultRowHeight="15" customHeight="1" x14ac:dyDescent="0.25"/>
  <cols>
    <col min="1" max="1" width="10.7109375" customWidth="1"/>
    <col min="2" max="2" width="14" customWidth="1"/>
    <col min="3" max="3" width="16.28515625" customWidth="1"/>
    <col min="4" max="4" width="19.5703125" customWidth="1"/>
    <col min="5" max="5" width="20.140625" customWidth="1"/>
    <col min="6" max="6" width="22.85546875" customWidth="1"/>
    <col min="7" max="7" width="22.5703125" customWidth="1"/>
    <col min="8" max="8" width="18.7109375" customWidth="1"/>
  </cols>
  <sheetData>
    <row r="1" spans="1:8" ht="66" customHeight="1" x14ac:dyDescent="0.25"/>
    <row r="2" spans="1:8" x14ac:dyDescent="0.25">
      <c r="A2" s="2" t="s">
        <v>155</v>
      </c>
      <c r="B2" s="2" t="s">
        <v>0</v>
      </c>
    </row>
    <row r="3" spans="1:8" x14ac:dyDescent="0.25">
      <c r="A3" s="2" t="s">
        <v>156</v>
      </c>
      <c r="B3" s="2" t="s">
        <v>274</v>
      </c>
    </row>
    <row r="4" spans="1:8" x14ac:dyDescent="0.25">
      <c r="A4" s="2" t="s">
        <v>158</v>
      </c>
      <c r="B4" s="97" t="s">
        <v>275</v>
      </c>
    </row>
    <row r="5" spans="1:8" x14ac:dyDescent="0.25">
      <c r="A5" s="2"/>
      <c r="B5" s="75"/>
    </row>
    <row r="6" spans="1:8" x14ac:dyDescent="0.25">
      <c r="A6" s="2"/>
      <c r="B6" s="75" t="s">
        <v>160</v>
      </c>
      <c r="D6" s="76" t="s">
        <v>161</v>
      </c>
    </row>
    <row r="7" spans="1:8" x14ac:dyDescent="0.25">
      <c r="A7" s="2"/>
      <c r="B7" s="75" t="s">
        <v>162</v>
      </c>
      <c r="D7" s="6">
        <v>11483544.92</v>
      </c>
    </row>
    <row r="8" spans="1:8" x14ac:dyDescent="0.25">
      <c r="A8" s="2"/>
      <c r="B8" s="75" t="s">
        <v>15</v>
      </c>
      <c r="D8" s="109">
        <f>8229984.23+580000*2+100000</f>
        <v>9489984.2300000004</v>
      </c>
    </row>
    <row r="9" spans="1:8" x14ac:dyDescent="0.25">
      <c r="A9" s="2"/>
      <c r="B9" s="78" t="s">
        <v>163</v>
      </c>
      <c r="C9" s="79"/>
      <c r="D9" s="80">
        <f>+D7-D8</f>
        <v>1993560.6899999995</v>
      </c>
    </row>
    <row r="10" spans="1:8" x14ac:dyDescent="0.25">
      <c r="A10" s="2"/>
      <c r="B10" s="75" t="s">
        <v>10</v>
      </c>
      <c r="D10" s="65">
        <v>0</v>
      </c>
    </row>
    <row r="11" spans="1:8" x14ac:dyDescent="0.25">
      <c r="A11" s="2"/>
      <c r="B11" s="78" t="s">
        <v>164</v>
      </c>
      <c r="C11" s="79"/>
      <c r="D11" s="80">
        <f>+D9-D10</f>
        <v>1993560.6899999995</v>
      </c>
    </row>
    <row r="13" spans="1:8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14" spans="1:8" x14ac:dyDescent="0.25">
      <c r="A14" s="94">
        <v>1</v>
      </c>
      <c r="B14" s="84">
        <v>45817</v>
      </c>
      <c r="C14" s="83" t="s">
        <v>276</v>
      </c>
      <c r="D14" s="83" t="s">
        <v>277</v>
      </c>
      <c r="E14" s="90">
        <f>580000</f>
        <v>580000</v>
      </c>
      <c r="F14" s="90">
        <v>100000</v>
      </c>
      <c r="G14" s="90">
        <f>+E14-F14</f>
        <v>480000</v>
      </c>
    </row>
    <row r="15" spans="1:8" x14ac:dyDescent="0.25">
      <c r="E15" s="115">
        <f t="shared" ref="E15:G15" si="0">+E14</f>
        <v>580000</v>
      </c>
      <c r="F15" s="115">
        <f t="shared" si="0"/>
        <v>100000</v>
      </c>
      <c r="G15" s="115">
        <f t="shared" si="0"/>
        <v>480000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9055118110236227" right="0.39370078740157483" top="0.59055118110236227" bottom="0.74803149606299213" header="0" footer="0"/>
  <pageSetup scale="85"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2:Z1000"/>
  <sheetViews>
    <sheetView workbookViewId="0"/>
  </sheetViews>
  <sheetFormatPr baseColWidth="10" defaultColWidth="14.42578125" defaultRowHeight="15" customHeight="1" x14ac:dyDescent="0.25"/>
  <cols>
    <col min="1" max="1" width="10.7109375" customWidth="1"/>
    <col min="2" max="2" width="12.85546875" customWidth="1"/>
    <col min="3" max="3" width="18.5703125" customWidth="1"/>
    <col min="4" max="4" width="25" customWidth="1"/>
    <col min="5" max="5" width="20.140625" customWidth="1"/>
    <col min="6" max="6" width="20.7109375" customWidth="1"/>
    <col min="7" max="7" width="19.7109375" customWidth="1"/>
    <col min="8" max="8" width="18.7109375" customWidth="1"/>
    <col min="9" max="26" width="10.7109375" customWidth="1"/>
  </cols>
  <sheetData>
    <row r="2" spans="1:26" x14ac:dyDescent="0.25">
      <c r="A2" s="2" t="s">
        <v>155</v>
      </c>
      <c r="B2" s="2" t="s">
        <v>0</v>
      </c>
    </row>
    <row r="3" spans="1:26" x14ac:dyDescent="0.25">
      <c r="A3" s="2" t="s">
        <v>156</v>
      </c>
      <c r="B3" s="2" t="s">
        <v>278</v>
      </c>
    </row>
    <row r="4" spans="1:26" x14ac:dyDescent="0.25">
      <c r="A4" s="2" t="s">
        <v>158</v>
      </c>
      <c r="B4" s="75" t="s">
        <v>279</v>
      </c>
    </row>
    <row r="5" spans="1:26" x14ac:dyDescent="0.25">
      <c r="A5" s="2"/>
      <c r="B5" s="75"/>
    </row>
    <row r="6" spans="1:26" x14ac:dyDescent="0.25">
      <c r="A6" s="2"/>
      <c r="B6" s="75" t="s">
        <v>160</v>
      </c>
      <c r="D6" s="76" t="s">
        <v>161</v>
      </c>
    </row>
    <row r="7" spans="1:26" x14ac:dyDescent="0.25">
      <c r="A7" s="2"/>
      <c r="B7" s="75" t="s">
        <v>162</v>
      </c>
      <c r="D7" s="77">
        <v>44512359.44224</v>
      </c>
    </row>
    <row r="8" spans="1:26" x14ac:dyDescent="0.25">
      <c r="A8" s="2"/>
      <c r="B8" s="75" t="s">
        <v>15</v>
      </c>
      <c r="D8" s="119">
        <f>42905216.3546497+1043640.34</f>
        <v>43948856.694649704</v>
      </c>
    </row>
    <row r="9" spans="1:26" x14ac:dyDescent="0.25">
      <c r="A9" s="2"/>
      <c r="B9" s="78" t="s">
        <v>163</v>
      </c>
      <c r="C9" s="79"/>
      <c r="D9" s="65">
        <f>+D7-D8</f>
        <v>563502.74759029597</v>
      </c>
    </row>
    <row r="10" spans="1:26" x14ac:dyDescent="0.25">
      <c r="A10" s="2"/>
      <c r="B10" s="75" t="s">
        <v>10</v>
      </c>
      <c r="D10" s="65">
        <v>0</v>
      </c>
    </row>
    <row r="11" spans="1:26" x14ac:dyDescent="0.25">
      <c r="A11" s="2"/>
      <c r="B11" s="78" t="s">
        <v>164</v>
      </c>
      <c r="C11" s="79"/>
      <c r="D11" s="80">
        <f>+D9-D10</f>
        <v>563502.74759029597</v>
      </c>
    </row>
    <row r="13" spans="1:26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14" spans="1:26" ht="18.75" customHeight="1" x14ac:dyDescent="0.25">
      <c r="A14" s="91"/>
      <c r="B14" s="84"/>
      <c r="C14" s="83"/>
      <c r="D14" s="86"/>
      <c r="E14" s="85"/>
      <c r="F14" s="85"/>
      <c r="G14" s="85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spans="1:26" x14ac:dyDescent="0.25">
      <c r="E15" s="65">
        <f t="shared" ref="E15:G15" si="0">SUM(E14)</f>
        <v>0</v>
      </c>
      <c r="F15" s="65">
        <f t="shared" si="0"/>
        <v>0</v>
      </c>
      <c r="G15" s="65">
        <f t="shared" si="0"/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Z1000"/>
  <sheetViews>
    <sheetView workbookViewId="0"/>
  </sheetViews>
  <sheetFormatPr baseColWidth="10" defaultColWidth="14.42578125" defaultRowHeight="15" customHeight="1" x14ac:dyDescent="0.25"/>
  <cols>
    <col min="1" max="1" width="10.7109375" customWidth="1"/>
    <col min="2" max="2" width="12.85546875" customWidth="1"/>
    <col min="3" max="3" width="18.5703125" customWidth="1"/>
    <col min="4" max="4" width="25" customWidth="1"/>
    <col min="5" max="5" width="20.140625" customWidth="1"/>
    <col min="6" max="6" width="20.7109375" customWidth="1"/>
    <col min="7" max="7" width="19.7109375" customWidth="1"/>
    <col min="8" max="8" width="18.7109375" customWidth="1"/>
    <col min="9" max="26" width="10.7109375" customWidth="1"/>
  </cols>
  <sheetData>
    <row r="1" spans="1:26" ht="64.5" customHeight="1" x14ac:dyDescent="0.25"/>
    <row r="2" spans="1:26" x14ac:dyDescent="0.25">
      <c r="A2" s="2" t="s">
        <v>155</v>
      </c>
      <c r="B2" s="2" t="s">
        <v>0</v>
      </c>
    </row>
    <row r="3" spans="1:26" x14ac:dyDescent="0.25">
      <c r="A3" s="2" t="s">
        <v>156</v>
      </c>
      <c r="B3" s="2" t="s">
        <v>280</v>
      </c>
    </row>
    <row r="4" spans="1:26" x14ac:dyDescent="0.25">
      <c r="A4" s="2" t="s">
        <v>158</v>
      </c>
      <c r="B4" s="75" t="s">
        <v>272</v>
      </c>
    </row>
    <row r="5" spans="1:26" x14ac:dyDescent="0.25">
      <c r="A5" s="2"/>
      <c r="B5" s="75"/>
    </row>
    <row r="6" spans="1:26" x14ac:dyDescent="0.25">
      <c r="A6" s="2"/>
      <c r="B6" s="75" t="s">
        <v>160</v>
      </c>
      <c r="D6" s="76" t="s">
        <v>161</v>
      </c>
    </row>
    <row r="7" spans="1:26" x14ac:dyDescent="0.25">
      <c r="A7" s="2"/>
      <c r="B7" s="75" t="s">
        <v>162</v>
      </c>
      <c r="D7" s="110">
        <v>794951.41039999994</v>
      </c>
    </row>
    <row r="8" spans="1:26" x14ac:dyDescent="0.25">
      <c r="A8" s="2"/>
      <c r="B8" s="75" t="s">
        <v>15</v>
      </c>
      <c r="D8" s="119">
        <f>290000+145000+29351.41</f>
        <v>464351.41</v>
      </c>
    </row>
    <row r="9" spans="1:26" x14ac:dyDescent="0.25">
      <c r="A9" s="2"/>
      <c r="B9" s="78" t="s">
        <v>163</v>
      </c>
      <c r="C9" s="79"/>
      <c r="D9" s="65">
        <f>+D7-D8</f>
        <v>330600.00039999996</v>
      </c>
    </row>
    <row r="10" spans="1:26" x14ac:dyDescent="0.25">
      <c r="A10" s="2"/>
      <c r="B10" s="75" t="s">
        <v>10</v>
      </c>
      <c r="D10" s="65">
        <v>0</v>
      </c>
    </row>
    <row r="11" spans="1:26" x14ac:dyDescent="0.25">
      <c r="A11" s="2"/>
      <c r="B11" s="78" t="s">
        <v>164</v>
      </c>
      <c r="C11" s="79"/>
      <c r="D11" s="80">
        <f>+D9-D10</f>
        <v>330600.00039999996</v>
      </c>
    </row>
    <row r="13" spans="1:26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14" spans="1:26" ht="14.25" customHeight="1" x14ac:dyDescent="0.25">
      <c r="A14" s="91"/>
      <c r="B14" s="84"/>
      <c r="C14" s="83"/>
      <c r="D14" s="86"/>
      <c r="E14" s="90"/>
      <c r="F14" s="90"/>
      <c r="G14" s="90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spans="1:26" x14ac:dyDescent="0.25">
      <c r="E15" s="65">
        <f t="shared" ref="E15:G15" si="0">SUM(E14)</f>
        <v>0</v>
      </c>
      <c r="F15" s="65">
        <f t="shared" si="0"/>
        <v>0</v>
      </c>
      <c r="G15" s="65">
        <f t="shared" si="0"/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2:Z1000"/>
  <sheetViews>
    <sheetView workbookViewId="0"/>
  </sheetViews>
  <sheetFormatPr baseColWidth="10" defaultColWidth="14.42578125" defaultRowHeight="15" customHeight="1" x14ac:dyDescent="0.25"/>
  <cols>
    <col min="1" max="1" width="10.7109375" customWidth="1"/>
    <col min="2" max="2" width="12.85546875" customWidth="1"/>
    <col min="3" max="3" width="18.5703125" customWidth="1"/>
    <col min="4" max="4" width="25" customWidth="1"/>
    <col min="5" max="5" width="20.140625" customWidth="1"/>
    <col min="6" max="6" width="20.7109375" customWidth="1"/>
    <col min="7" max="7" width="19.7109375" customWidth="1"/>
    <col min="8" max="8" width="18.7109375" customWidth="1"/>
    <col min="9" max="26" width="10.7109375" customWidth="1"/>
  </cols>
  <sheetData>
    <row r="2" spans="1:26" x14ac:dyDescent="0.25">
      <c r="A2" s="2" t="s">
        <v>155</v>
      </c>
      <c r="B2" s="2" t="s">
        <v>0</v>
      </c>
    </row>
    <row r="3" spans="1:26" x14ac:dyDescent="0.25">
      <c r="A3" s="2" t="s">
        <v>156</v>
      </c>
      <c r="B3" s="2" t="s">
        <v>281</v>
      </c>
    </row>
    <row r="4" spans="1:26" x14ac:dyDescent="0.25">
      <c r="A4" s="2" t="s">
        <v>158</v>
      </c>
      <c r="B4" s="75" t="s">
        <v>282</v>
      </c>
    </row>
    <row r="5" spans="1:26" x14ac:dyDescent="0.25">
      <c r="A5" s="2"/>
      <c r="B5" s="75"/>
    </row>
    <row r="6" spans="1:26" x14ac:dyDescent="0.25">
      <c r="A6" s="2"/>
      <c r="B6" s="75" t="s">
        <v>160</v>
      </c>
      <c r="D6" s="76" t="s">
        <v>161</v>
      </c>
    </row>
    <row r="7" spans="1:26" x14ac:dyDescent="0.25">
      <c r="A7" s="2"/>
      <c r="B7" s="75" t="s">
        <v>162</v>
      </c>
      <c r="D7" s="110">
        <v>317799.33</v>
      </c>
    </row>
    <row r="8" spans="1:26" x14ac:dyDescent="0.25">
      <c r="A8" s="2"/>
      <c r="B8" s="75" t="s">
        <v>15</v>
      </c>
      <c r="D8" s="90">
        <v>188090.13</v>
      </c>
    </row>
    <row r="9" spans="1:26" x14ac:dyDescent="0.25">
      <c r="A9" s="2"/>
      <c r="B9" s="78" t="s">
        <v>163</v>
      </c>
      <c r="C9" s="79"/>
      <c r="D9" s="65">
        <f>+D7-D8</f>
        <v>129709.20000000001</v>
      </c>
    </row>
    <row r="10" spans="1:26" x14ac:dyDescent="0.25">
      <c r="A10" s="2"/>
      <c r="B10" s="75" t="s">
        <v>10</v>
      </c>
      <c r="D10" s="65">
        <v>0</v>
      </c>
    </row>
    <row r="11" spans="1:26" x14ac:dyDescent="0.25">
      <c r="A11" s="2"/>
      <c r="B11" s="78" t="s">
        <v>164</v>
      </c>
      <c r="C11" s="79"/>
      <c r="D11" s="80">
        <f>+D9-D10</f>
        <v>129709.20000000001</v>
      </c>
    </row>
    <row r="13" spans="1:26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14" spans="1:26" x14ac:dyDescent="0.25">
      <c r="A14" s="91"/>
      <c r="B14" s="84"/>
      <c r="C14" s="83"/>
      <c r="D14" s="86"/>
      <c r="E14" s="85"/>
      <c r="F14" s="85"/>
      <c r="G14" s="85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spans="1:26" x14ac:dyDescent="0.25">
      <c r="E15" s="65">
        <f t="shared" ref="E15:G15" si="0">SUM(E14)</f>
        <v>0</v>
      </c>
      <c r="F15" s="65">
        <f t="shared" si="0"/>
        <v>0</v>
      </c>
      <c r="G15" s="65">
        <f t="shared" si="0"/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Z998"/>
  <sheetViews>
    <sheetView workbookViewId="0"/>
  </sheetViews>
  <sheetFormatPr baseColWidth="10" defaultColWidth="14.42578125" defaultRowHeight="15" customHeight="1" x14ac:dyDescent="0.25"/>
  <cols>
    <col min="1" max="1" width="10.7109375" customWidth="1"/>
    <col min="2" max="2" width="12.85546875" customWidth="1"/>
    <col min="3" max="3" width="15.7109375" customWidth="1"/>
    <col min="4" max="4" width="26.7109375" customWidth="1"/>
    <col min="5" max="5" width="20.140625" customWidth="1"/>
    <col min="6" max="6" width="19" customWidth="1"/>
    <col min="7" max="7" width="19.7109375" customWidth="1"/>
    <col min="8" max="8" width="18.7109375" customWidth="1"/>
    <col min="9" max="26" width="10.7109375" customWidth="1"/>
  </cols>
  <sheetData>
    <row r="1" spans="1:26" ht="70.5" customHeight="1" x14ac:dyDescent="0.25"/>
    <row r="2" spans="1:26" x14ac:dyDescent="0.25">
      <c r="A2" s="2" t="s">
        <v>155</v>
      </c>
      <c r="B2" s="2" t="s">
        <v>0</v>
      </c>
    </row>
    <row r="3" spans="1:26" x14ac:dyDescent="0.25">
      <c r="A3" s="2" t="s">
        <v>156</v>
      </c>
      <c r="B3" s="2" t="s">
        <v>283</v>
      </c>
    </row>
    <row r="4" spans="1:26" x14ac:dyDescent="0.25">
      <c r="A4" s="2" t="s">
        <v>158</v>
      </c>
      <c r="B4" s="75" t="s">
        <v>207</v>
      </c>
    </row>
    <row r="5" spans="1:26" x14ac:dyDescent="0.25">
      <c r="A5" s="2"/>
      <c r="B5" s="75"/>
    </row>
    <row r="6" spans="1:26" x14ac:dyDescent="0.25">
      <c r="A6" s="2"/>
      <c r="B6" s="75" t="s">
        <v>160</v>
      </c>
      <c r="D6" s="76" t="s">
        <v>161</v>
      </c>
    </row>
    <row r="7" spans="1:26" x14ac:dyDescent="0.25">
      <c r="A7" s="2"/>
      <c r="B7" s="75" t="s">
        <v>162</v>
      </c>
      <c r="D7" s="6">
        <v>198456.23360000001</v>
      </c>
      <c r="E7" s="6"/>
    </row>
    <row r="8" spans="1:26" x14ac:dyDescent="0.25">
      <c r="A8" s="2"/>
      <c r="B8" s="75" t="s">
        <v>15</v>
      </c>
      <c r="D8" s="90">
        <f>66655.68+78476.02</f>
        <v>145131.70000000001</v>
      </c>
    </row>
    <row r="9" spans="1:26" x14ac:dyDescent="0.25">
      <c r="A9" s="2"/>
      <c r="B9" s="78" t="s">
        <v>163</v>
      </c>
      <c r="C9" s="79"/>
      <c r="D9" s="65">
        <f>+D7-D8</f>
        <v>53324.533599999995</v>
      </c>
    </row>
    <row r="10" spans="1:26" x14ac:dyDescent="0.25">
      <c r="A10" s="2"/>
      <c r="B10" s="75" t="s">
        <v>10</v>
      </c>
      <c r="D10" s="65">
        <v>0</v>
      </c>
    </row>
    <row r="11" spans="1:26" x14ac:dyDescent="0.25">
      <c r="A11" s="2"/>
      <c r="B11" s="78" t="s">
        <v>164</v>
      </c>
      <c r="C11" s="79"/>
      <c r="D11" s="80">
        <f>+D9-D10</f>
        <v>53324.533599999995</v>
      </c>
    </row>
    <row r="13" spans="1:26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14" spans="1:26" x14ac:dyDescent="0.25">
      <c r="A14" s="91"/>
      <c r="B14" s="84"/>
      <c r="C14" s="83"/>
      <c r="D14" s="86"/>
      <c r="E14" s="90"/>
      <c r="F14" s="90"/>
      <c r="G14" s="90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spans="1:26" x14ac:dyDescent="0.25">
      <c r="E15" s="65">
        <f t="shared" ref="E15:G15" si="0">SUM(E14)</f>
        <v>0</v>
      </c>
      <c r="F15" s="65">
        <f t="shared" si="0"/>
        <v>0</v>
      </c>
      <c r="G15" s="65">
        <f t="shared" si="0"/>
        <v>0</v>
      </c>
    </row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" footer="0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1000"/>
  <sheetViews>
    <sheetView workbookViewId="0">
      <selection activeCell="D5" sqref="D5"/>
    </sheetView>
  </sheetViews>
  <sheetFormatPr baseColWidth="10" defaultColWidth="14.42578125" defaultRowHeight="15" customHeight="1" x14ac:dyDescent="0.25"/>
  <cols>
    <col min="1" max="2" width="10.7109375" customWidth="1"/>
    <col min="3" max="3" width="16.28515625" customWidth="1"/>
    <col min="4" max="4" width="19.5703125" customWidth="1"/>
    <col min="5" max="5" width="20.140625" customWidth="1"/>
    <col min="6" max="6" width="22.85546875" customWidth="1"/>
    <col min="7" max="7" width="22.5703125" customWidth="1"/>
    <col min="8" max="8" width="18.7109375" customWidth="1"/>
  </cols>
  <sheetData>
    <row r="1" spans="1:8" ht="66" customHeight="1" x14ac:dyDescent="0.25"/>
    <row r="2" spans="1:8" x14ac:dyDescent="0.25">
      <c r="A2" s="2" t="s">
        <v>155</v>
      </c>
      <c r="B2" s="2" t="s">
        <v>0</v>
      </c>
    </row>
    <row r="3" spans="1:8" x14ac:dyDescent="0.25">
      <c r="A3" s="2" t="s">
        <v>156</v>
      </c>
      <c r="B3" s="2" t="s">
        <v>284</v>
      </c>
    </row>
    <row r="4" spans="1:8" x14ac:dyDescent="0.25">
      <c r="A4" s="2" t="s">
        <v>158</v>
      </c>
      <c r="B4" s="75" t="s">
        <v>313</v>
      </c>
    </row>
    <row r="5" spans="1:8" x14ac:dyDescent="0.25">
      <c r="A5" s="2"/>
      <c r="B5" s="75"/>
    </row>
    <row r="6" spans="1:8" x14ac:dyDescent="0.25">
      <c r="A6" s="2"/>
      <c r="B6" s="75" t="s">
        <v>160</v>
      </c>
      <c r="D6" s="76" t="s">
        <v>161</v>
      </c>
    </row>
    <row r="7" spans="1:8" x14ac:dyDescent="0.25">
      <c r="A7" s="2"/>
      <c r="B7" s="75" t="s">
        <v>162</v>
      </c>
      <c r="D7" s="77">
        <f>126412000+7192000</f>
        <v>133604000</v>
      </c>
    </row>
    <row r="8" spans="1:8" x14ac:dyDescent="0.25">
      <c r="A8" s="2"/>
      <c r="B8" s="75" t="s">
        <v>15</v>
      </c>
      <c r="D8" s="90">
        <v>94590000.079999983</v>
      </c>
    </row>
    <row r="9" spans="1:8" x14ac:dyDescent="0.25">
      <c r="A9" s="2"/>
      <c r="B9" s="78" t="s">
        <v>163</v>
      </c>
      <c r="C9" s="79"/>
      <c r="D9" s="80">
        <f>+D7-D8</f>
        <v>39013999.920000017</v>
      </c>
    </row>
    <row r="10" spans="1:8" x14ac:dyDescent="0.25">
      <c r="A10" s="2"/>
      <c r="B10" s="75" t="s">
        <v>10</v>
      </c>
      <c r="D10" s="65">
        <v>0</v>
      </c>
    </row>
    <row r="11" spans="1:8" x14ac:dyDescent="0.25">
      <c r="A11" s="2"/>
      <c r="B11" s="78" t="s">
        <v>164</v>
      </c>
      <c r="C11" s="79"/>
      <c r="D11" s="80">
        <f>+D9-D10</f>
        <v>39013999.920000017</v>
      </c>
    </row>
    <row r="13" spans="1:8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14" spans="1:8" ht="15" customHeight="1" x14ac:dyDescent="0.25">
      <c r="A14" s="94"/>
      <c r="B14" s="84"/>
      <c r="C14" s="83"/>
      <c r="D14" s="94"/>
      <c r="E14" s="95"/>
      <c r="F14" s="95"/>
      <c r="G14" s="95"/>
    </row>
    <row r="15" spans="1:8" x14ac:dyDescent="0.25">
      <c r="D15" s="106"/>
      <c r="E15" s="65">
        <f t="shared" ref="E15:G15" si="0">+E14</f>
        <v>0</v>
      </c>
      <c r="F15" s="65">
        <f t="shared" si="0"/>
        <v>0</v>
      </c>
      <c r="G15" s="65">
        <f t="shared" si="0"/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2:H1000"/>
  <sheetViews>
    <sheetView workbookViewId="0">
      <selection activeCell="F29" sqref="F29"/>
    </sheetView>
  </sheetViews>
  <sheetFormatPr baseColWidth="10" defaultColWidth="14.42578125" defaultRowHeight="15" customHeight="1" x14ac:dyDescent="0.25"/>
  <cols>
    <col min="1" max="2" width="10.7109375" customWidth="1"/>
    <col min="3" max="3" width="16.28515625" customWidth="1"/>
    <col min="4" max="4" width="19.5703125" customWidth="1"/>
    <col min="5" max="5" width="20.140625" customWidth="1"/>
    <col min="6" max="6" width="22.85546875" customWidth="1"/>
    <col min="7" max="7" width="22.5703125" customWidth="1"/>
    <col min="8" max="8" width="18.7109375" customWidth="1"/>
  </cols>
  <sheetData>
    <row r="2" spans="1:8" x14ac:dyDescent="0.25">
      <c r="A2" s="2" t="s">
        <v>155</v>
      </c>
      <c r="B2" s="2" t="s">
        <v>0</v>
      </c>
    </row>
    <row r="3" spans="1:8" x14ac:dyDescent="0.25">
      <c r="A3" s="2" t="s">
        <v>156</v>
      </c>
      <c r="B3" s="2" t="s">
        <v>285</v>
      </c>
    </row>
    <row r="4" spans="1:8" x14ac:dyDescent="0.25">
      <c r="A4" s="2" t="s">
        <v>158</v>
      </c>
      <c r="B4" s="75" t="s">
        <v>159</v>
      </c>
    </row>
    <row r="5" spans="1:8" x14ac:dyDescent="0.25">
      <c r="A5" s="2"/>
      <c r="B5" s="75"/>
    </row>
    <row r="6" spans="1:8" x14ac:dyDescent="0.25">
      <c r="A6" s="2"/>
      <c r="B6" s="75" t="s">
        <v>160</v>
      </c>
      <c r="D6" s="76" t="s">
        <v>161</v>
      </c>
    </row>
    <row r="7" spans="1:8" x14ac:dyDescent="0.25">
      <c r="A7" s="2"/>
      <c r="B7" s="75" t="s">
        <v>162</v>
      </c>
      <c r="D7" s="77">
        <v>86969392.659999996</v>
      </c>
    </row>
    <row r="8" spans="1:8" x14ac:dyDescent="0.25">
      <c r="A8" s="2"/>
      <c r="B8" s="75" t="s">
        <v>15</v>
      </c>
      <c r="D8" s="99">
        <v>81568963.359999925</v>
      </c>
    </row>
    <row r="9" spans="1:8" x14ac:dyDescent="0.25">
      <c r="A9" s="2"/>
      <c r="B9" s="78" t="s">
        <v>163</v>
      </c>
      <c r="C9" s="79"/>
      <c r="D9" s="80">
        <f>+D7-D8</f>
        <v>5400429.3000000715</v>
      </c>
    </row>
    <row r="10" spans="1:8" x14ac:dyDescent="0.25">
      <c r="A10" s="2"/>
      <c r="B10" s="75" t="s">
        <v>191</v>
      </c>
      <c r="D10" s="65">
        <f>+D7*5%</f>
        <v>4348469.6330000004</v>
      </c>
    </row>
    <row r="11" spans="1:8" x14ac:dyDescent="0.25">
      <c r="A11" s="2"/>
      <c r="B11" s="78" t="s">
        <v>164</v>
      </c>
      <c r="C11" s="79"/>
      <c r="D11" s="80">
        <f>+D9-D10</f>
        <v>1051959.6670000711</v>
      </c>
    </row>
    <row r="13" spans="1:8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D3CD0-A5DC-43DF-9FD6-299A71870414}">
  <dimension ref="A1"/>
  <sheetViews>
    <sheetView workbookViewId="0">
      <selection activeCell="N15" sqref="N15"/>
    </sheetView>
  </sheetViews>
  <sheetFormatPr baseColWidth="10" defaultRowHeight="15" x14ac:dyDescent="0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1000"/>
  <sheetViews>
    <sheetView workbookViewId="0"/>
  </sheetViews>
  <sheetFormatPr baseColWidth="10" defaultColWidth="14.42578125" defaultRowHeight="15" customHeight="1" x14ac:dyDescent="0.25"/>
  <cols>
    <col min="1" max="2" width="10.7109375" customWidth="1"/>
    <col min="3" max="3" width="16.28515625" customWidth="1"/>
    <col min="4" max="4" width="19.5703125" customWidth="1"/>
    <col min="5" max="5" width="20.140625" customWidth="1"/>
    <col min="6" max="6" width="22.85546875" customWidth="1"/>
    <col min="7" max="7" width="22.5703125" customWidth="1"/>
    <col min="8" max="8" width="18.7109375" customWidth="1"/>
  </cols>
  <sheetData>
    <row r="1" spans="1:8" ht="60" customHeight="1" x14ac:dyDescent="0.25"/>
    <row r="2" spans="1:8" x14ac:dyDescent="0.25">
      <c r="A2" s="2" t="s">
        <v>155</v>
      </c>
      <c r="B2" s="2" t="s">
        <v>0</v>
      </c>
    </row>
    <row r="3" spans="1:8" x14ac:dyDescent="0.25">
      <c r="A3" s="2" t="s">
        <v>156</v>
      </c>
      <c r="B3" s="2" t="s">
        <v>286</v>
      </c>
    </row>
    <row r="4" spans="1:8" x14ac:dyDescent="0.25">
      <c r="A4" s="2" t="s">
        <v>158</v>
      </c>
      <c r="B4" s="75" t="s">
        <v>287</v>
      </c>
    </row>
    <row r="5" spans="1:8" x14ac:dyDescent="0.25">
      <c r="A5" s="2"/>
      <c r="B5" s="75"/>
    </row>
    <row r="6" spans="1:8" x14ac:dyDescent="0.25">
      <c r="A6" s="2"/>
      <c r="B6" s="75" t="s">
        <v>160</v>
      </c>
      <c r="D6" s="76" t="s">
        <v>161</v>
      </c>
    </row>
    <row r="7" spans="1:8" x14ac:dyDescent="0.25">
      <c r="A7" s="2"/>
      <c r="B7" s="75" t="s">
        <v>162</v>
      </c>
      <c r="D7" s="77">
        <v>763066.38600000006</v>
      </c>
    </row>
    <row r="8" spans="1:8" x14ac:dyDescent="0.25">
      <c r="A8" s="2"/>
      <c r="B8" s="75" t="s">
        <v>15</v>
      </c>
      <c r="D8" s="119">
        <v>400000</v>
      </c>
    </row>
    <row r="9" spans="1:8" x14ac:dyDescent="0.25">
      <c r="A9" s="2"/>
      <c r="B9" s="78" t="s">
        <v>163</v>
      </c>
      <c r="C9" s="79"/>
      <c r="D9" s="65">
        <f>+D7-D8</f>
        <v>363066.38600000006</v>
      </c>
    </row>
    <row r="10" spans="1:8" x14ac:dyDescent="0.25">
      <c r="A10" s="2"/>
      <c r="B10" s="75" t="s">
        <v>10</v>
      </c>
      <c r="D10" s="65">
        <v>0</v>
      </c>
    </row>
    <row r="11" spans="1:8" x14ac:dyDescent="0.25">
      <c r="A11" s="2"/>
      <c r="B11" s="78" t="s">
        <v>164</v>
      </c>
      <c r="C11" s="79"/>
      <c r="D11" s="80">
        <f>+D9-D10</f>
        <v>363066.38600000006</v>
      </c>
    </row>
    <row r="13" spans="1:8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14" spans="1:8" ht="15" customHeight="1" x14ac:dyDescent="0.25">
      <c r="A14" s="101"/>
      <c r="B14" s="84"/>
      <c r="C14" s="83"/>
      <c r="D14" s="86"/>
      <c r="E14" s="85"/>
      <c r="F14" s="85"/>
      <c r="G14" s="85"/>
      <c r="H14" s="104"/>
    </row>
    <row r="15" spans="1:8" x14ac:dyDescent="0.25">
      <c r="E15" s="65">
        <f t="shared" ref="E15:G15" si="0">+E14</f>
        <v>0</v>
      </c>
      <c r="F15" s="65">
        <f t="shared" si="0"/>
        <v>0</v>
      </c>
      <c r="G15" s="65">
        <f t="shared" si="0"/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H1000"/>
  <sheetViews>
    <sheetView workbookViewId="0"/>
  </sheetViews>
  <sheetFormatPr baseColWidth="10" defaultColWidth="14.42578125" defaultRowHeight="15" customHeight="1" x14ac:dyDescent="0.25"/>
  <cols>
    <col min="1" max="2" width="10.7109375" customWidth="1"/>
    <col min="3" max="3" width="16.28515625" customWidth="1"/>
    <col min="4" max="4" width="19.5703125" customWidth="1"/>
    <col min="5" max="5" width="20.140625" customWidth="1"/>
    <col min="6" max="6" width="22.85546875" customWidth="1"/>
    <col min="7" max="7" width="22.5703125" customWidth="1"/>
    <col min="8" max="8" width="18.7109375" customWidth="1"/>
  </cols>
  <sheetData>
    <row r="1" spans="1:8" ht="60" customHeight="1" x14ac:dyDescent="0.25"/>
    <row r="2" spans="1:8" x14ac:dyDescent="0.25">
      <c r="A2" s="2" t="s">
        <v>155</v>
      </c>
      <c r="B2" s="2" t="s">
        <v>0</v>
      </c>
    </row>
    <row r="3" spans="1:8" x14ac:dyDescent="0.25">
      <c r="A3" s="2" t="s">
        <v>156</v>
      </c>
      <c r="B3" s="2" t="s">
        <v>288</v>
      </c>
    </row>
    <row r="4" spans="1:8" x14ac:dyDescent="0.25">
      <c r="A4" s="2" t="s">
        <v>158</v>
      </c>
      <c r="B4" s="75" t="s">
        <v>207</v>
      </c>
    </row>
    <row r="5" spans="1:8" x14ac:dyDescent="0.25">
      <c r="A5" s="2"/>
      <c r="B5" s="75"/>
    </row>
    <row r="6" spans="1:8" x14ac:dyDescent="0.25">
      <c r="A6" s="2"/>
      <c r="B6" s="75" t="s">
        <v>160</v>
      </c>
      <c r="D6" s="76" t="s">
        <v>161</v>
      </c>
    </row>
    <row r="7" spans="1:8" x14ac:dyDescent="0.25">
      <c r="A7" s="2"/>
      <c r="B7" s="75" t="s">
        <v>162</v>
      </c>
      <c r="D7" s="77">
        <f>231557.12*1.16</f>
        <v>268606.25919999997</v>
      </c>
    </row>
    <row r="8" spans="1:8" x14ac:dyDescent="0.25">
      <c r="A8" s="2"/>
      <c r="B8" s="75" t="s">
        <v>15</v>
      </c>
      <c r="D8" s="119">
        <v>188024.38</v>
      </c>
    </row>
    <row r="9" spans="1:8" x14ac:dyDescent="0.25">
      <c r="A9" s="2"/>
      <c r="B9" s="78" t="s">
        <v>163</v>
      </c>
      <c r="C9" s="79"/>
      <c r="D9" s="65">
        <f>+D7-D8</f>
        <v>80581.879199999967</v>
      </c>
    </row>
    <row r="10" spans="1:8" x14ac:dyDescent="0.25">
      <c r="A10" s="2"/>
      <c r="B10" s="75" t="s">
        <v>10</v>
      </c>
      <c r="D10" s="65">
        <v>0</v>
      </c>
    </row>
    <row r="11" spans="1:8" x14ac:dyDescent="0.25">
      <c r="A11" s="2"/>
      <c r="B11" s="78" t="s">
        <v>164</v>
      </c>
      <c r="C11" s="79"/>
      <c r="D11" s="80">
        <f>+D9-D10</f>
        <v>80581.879199999967</v>
      </c>
    </row>
    <row r="13" spans="1:8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14" spans="1:8" ht="15" customHeight="1" x14ac:dyDescent="0.25">
      <c r="A14" s="101"/>
      <c r="B14" s="84"/>
      <c r="C14" s="83"/>
      <c r="D14" s="86"/>
      <c r="E14" s="85"/>
      <c r="F14" s="85"/>
      <c r="G14" s="85"/>
      <c r="H14" s="104"/>
    </row>
    <row r="15" spans="1:8" x14ac:dyDescent="0.25">
      <c r="E15" s="65">
        <f t="shared" ref="E15:G15" si="0">+E14</f>
        <v>0</v>
      </c>
      <c r="F15" s="65">
        <f t="shared" si="0"/>
        <v>0</v>
      </c>
      <c r="G15" s="65">
        <f t="shared" si="0"/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H1000"/>
  <sheetViews>
    <sheetView workbookViewId="0"/>
  </sheetViews>
  <sheetFormatPr baseColWidth="10" defaultColWidth="14.42578125" defaultRowHeight="15" customHeight="1" x14ac:dyDescent="0.25"/>
  <cols>
    <col min="1" max="2" width="10.7109375" customWidth="1"/>
    <col min="3" max="3" width="16.28515625" customWidth="1"/>
    <col min="4" max="4" width="19.5703125" customWidth="1"/>
    <col min="5" max="5" width="20.140625" customWidth="1"/>
    <col min="6" max="6" width="22.85546875" customWidth="1"/>
    <col min="7" max="7" width="22.5703125" customWidth="1"/>
    <col min="8" max="8" width="18.7109375" customWidth="1"/>
  </cols>
  <sheetData>
    <row r="1" spans="1:8" ht="62.25" customHeight="1" x14ac:dyDescent="0.25"/>
    <row r="2" spans="1:8" x14ac:dyDescent="0.25">
      <c r="A2" s="2" t="s">
        <v>155</v>
      </c>
      <c r="B2" s="2" t="s">
        <v>0</v>
      </c>
    </row>
    <row r="3" spans="1:8" x14ac:dyDescent="0.25">
      <c r="A3" s="2" t="s">
        <v>156</v>
      </c>
      <c r="B3" s="2" t="s">
        <v>289</v>
      </c>
    </row>
    <row r="4" spans="1:8" x14ac:dyDescent="0.25">
      <c r="A4" s="2" t="s">
        <v>158</v>
      </c>
      <c r="B4" s="75" t="s">
        <v>207</v>
      </c>
    </row>
    <row r="5" spans="1:8" x14ac:dyDescent="0.25">
      <c r="A5" s="2"/>
      <c r="B5" s="75"/>
    </row>
    <row r="6" spans="1:8" x14ac:dyDescent="0.25">
      <c r="A6" s="2"/>
      <c r="B6" s="75" t="s">
        <v>160</v>
      </c>
      <c r="D6" s="76" t="s">
        <v>161</v>
      </c>
    </row>
    <row r="7" spans="1:8" x14ac:dyDescent="0.25">
      <c r="A7" s="2"/>
      <c r="B7" s="75" t="s">
        <v>162</v>
      </c>
      <c r="D7" s="77">
        <f>47091.36+17798.1</f>
        <v>64889.46</v>
      </c>
    </row>
    <row r="8" spans="1:8" x14ac:dyDescent="0.25">
      <c r="A8" s="2"/>
      <c r="B8" s="75" t="s">
        <v>15</v>
      </c>
      <c r="D8" s="119">
        <f>47091.36+17799.1</f>
        <v>64890.46</v>
      </c>
    </row>
    <row r="9" spans="1:8" x14ac:dyDescent="0.25">
      <c r="A9" s="2"/>
      <c r="B9" s="78" t="s">
        <v>163</v>
      </c>
      <c r="C9" s="79"/>
      <c r="D9" s="65">
        <f>+D7-D8</f>
        <v>-1</v>
      </c>
    </row>
    <row r="10" spans="1:8" x14ac:dyDescent="0.25">
      <c r="A10" s="2"/>
      <c r="B10" s="75" t="s">
        <v>10</v>
      </c>
      <c r="D10" s="65">
        <v>0</v>
      </c>
    </row>
    <row r="11" spans="1:8" x14ac:dyDescent="0.25">
      <c r="A11" s="2"/>
      <c r="B11" s="78" t="s">
        <v>164</v>
      </c>
      <c r="C11" s="79"/>
      <c r="D11" s="80">
        <f>+D9-D10</f>
        <v>-1</v>
      </c>
    </row>
    <row r="13" spans="1:8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14" spans="1:8" ht="15" customHeight="1" x14ac:dyDescent="0.25">
      <c r="A14" s="101"/>
      <c r="B14" s="84"/>
      <c r="C14" s="83"/>
      <c r="D14" s="86"/>
      <c r="E14" s="85"/>
      <c r="F14" s="85"/>
      <c r="G14" s="85"/>
      <c r="H14" s="104"/>
    </row>
    <row r="15" spans="1:8" x14ac:dyDescent="0.25">
      <c r="E15" s="65">
        <f t="shared" ref="E15:G15" si="0">+E14</f>
        <v>0</v>
      </c>
      <c r="F15" s="65">
        <f t="shared" si="0"/>
        <v>0</v>
      </c>
      <c r="G15" s="65">
        <f t="shared" si="0"/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1000"/>
  <sheetViews>
    <sheetView workbookViewId="0"/>
  </sheetViews>
  <sheetFormatPr baseColWidth="10" defaultColWidth="14.42578125" defaultRowHeight="15" customHeight="1" x14ac:dyDescent="0.25"/>
  <cols>
    <col min="1" max="2" width="10.7109375" customWidth="1"/>
    <col min="3" max="3" width="16.28515625" customWidth="1"/>
    <col min="4" max="4" width="19.5703125" customWidth="1"/>
    <col min="5" max="5" width="20.140625" customWidth="1"/>
    <col min="6" max="6" width="22.85546875" customWidth="1"/>
    <col min="7" max="7" width="22.5703125" customWidth="1"/>
    <col min="8" max="8" width="18.7109375" customWidth="1"/>
  </cols>
  <sheetData>
    <row r="1" spans="1:8" ht="65.25" customHeight="1" x14ac:dyDescent="0.25"/>
    <row r="2" spans="1:8" x14ac:dyDescent="0.25">
      <c r="A2" s="2" t="s">
        <v>155</v>
      </c>
      <c r="B2" s="2" t="s">
        <v>0</v>
      </c>
    </row>
    <row r="3" spans="1:8" x14ac:dyDescent="0.25">
      <c r="A3" s="2" t="s">
        <v>156</v>
      </c>
      <c r="B3" s="2" t="s">
        <v>290</v>
      </c>
    </row>
    <row r="4" spans="1:8" x14ac:dyDescent="0.25">
      <c r="A4" s="2" t="s">
        <v>158</v>
      </c>
      <c r="B4" s="75" t="s">
        <v>291</v>
      </c>
    </row>
    <row r="5" spans="1:8" x14ac:dyDescent="0.25">
      <c r="A5" s="2"/>
      <c r="B5" s="75"/>
    </row>
    <row r="6" spans="1:8" x14ac:dyDescent="0.25">
      <c r="A6" s="2"/>
      <c r="B6" s="75" t="s">
        <v>160</v>
      </c>
      <c r="D6" s="76" t="s">
        <v>161</v>
      </c>
    </row>
    <row r="7" spans="1:8" x14ac:dyDescent="0.25">
      <c r="A7" s="2"/>
      <c r="B7" s="75" t="s">
        <v>162</v>
      </c>
      <c r="D7" s="6">
        <v>12166.54</v>
      </c>
    </row>
    <row r="8" spans="1:8" x14ac:dyDescent="0.25">
      <c r="A8" s="2"/>
      <c r="B8" s="75" t="s">
        <v>15</v>
      </c>
      <c r="D8" s="88">
        <v>0</v>
      </c>
    </row>
    <row r="9" spans="1:8" x14ac:dyDescent="0.25">
      <c r="A9" s="2"/>
      <c r="B9" s="78" t="s">
        <v>163</v>
      </c>
      <c r="C9" s="79"/>
      <c r="D9" s="65">
        <f>+D7-D8</f>
        <v>12166.54</v>
      </c>
    </row>
    <row r="10" spans="1:8" x14ac:dyDescent="0.25">
      <c r="A10" s="2"/>
      <c r="B10" s="75" t="s">
        <v>10</v>
      </c>
      <c r="D10" s="65"/>
    </row>
    <row r="11" spans="1:8" x14ac:dyDescent="0.25">
      <c r="A11" s="2"/>
      <c r="B11" s="78" t="s">
        <v>164</v>
      </c>
      <c r="C11" s="79"/>
      <c r="D11" s="80">
        <f>+D9-D10</f>
        <v>12166.54</v>
      </c>
    </row>
    <row r="13" spans="1:8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14" spans="1:8" ht="15" customHeight="1" x14ac:dyDescent="0.25">
      <c r="A14" s="101">
        <v>1</v>
      </c>
      <c r="B14" s="84">
        <v>45882</v>
      </c>
      <c r="C14" s="83">
        <v>4266</v>
      </c>
      <c r="D14" s="86" t="s">
        <v>292</v>
      </c>
      <c r="E14" s="85">
        <v>12166.54</v>
      </c>
      <c r="F14" s="85">
        <v>0</v>
      </c>
      <c r="G14" s="85">
        <v>12166.54</v>
      </c>
      <c r="H14" s="104"/>
    </row>
    <row r="15" spans="1:8" x14ac:dyDescent="0.25">
      <c r="E15" s="65">
        <f t="shared" ref="E15:G15" si="0">+E14</f>
        <v>12166.54</v>
      </c>
      <c r="F15" s="65">
        <f t="shared" si="0"/>
        <v>0</v>
      </c>
      <c r="G15" s="65">
        <f t="shared" si="0"/>
        <v>12166.54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H1000"/>
  <sheetViews>
    <sheetView workbookViewId="0">
      <selection activeCell="B5" sqref="B5"/>
    </sheetView>
  </sheetViews>
  <sheetFormatPr baseColWidth="10" defaultColWidth="14.42578125" defaultRowHeight="15" customHeight="1" x14ac:dyDescent="0.25"/>
  <cols>
    <col min="1" max="2" width="10.7109375" customWidth="1"/>
    <col min="3" max="3" width="16.28515625" customWidth="1"/>
    <col min="4" max="4" width="19.5703125" customWidth="1"/>
    <col min="5" max="5" width="20.140625" customWidth="1"/>
    <col min="6" max="6" width="22.85546875" customWidth="1"/>
    <col min="7" max="7" width="22.5703125" customWidth="1"/>
    <col min="8" max="8" width="18.7109375" customWidth="1"/>
  </cols>
  <sheetData>
    <row r="1" spans="1:8" ht="63.75" customHeight="1" x14ac:dyDescent="0.25"/>
    <row r="2" spans="1:8" x14ac:dyDescent="0.25">
      <c r="A2" s="2" t="s">
        <v>155</v>
      </c>
      <c r="B2" s="2" t="s">
        <v>0</v>
      </c>
    </row>
    <row r="3" spans="1:8" x14ac:dyDescent="0.25">
      <c r="A3" s="2" t="s">
        <v>156</v>
      </c>
      <c r="B3" s="2" t="s">
        <v>293</v>
      </c>
    </row>
    <row r="4" spans="1:8" x14ac:dyDescent="0.25">
      <c r="A4" s="2" t="s">
        <v>158</v>
      </c>
      <c r="B4" s="75" t="s">
        <v>326</v>
      </c>
    </row>
    <row r="5" spans="1:8" x14ac:dyDescent="0.25">
      <c r="A5" s="2"/>
      <c r="B5" s="75"/>
    </row>
    <row r="6" spans="1:8" x14ac:dyDescent="0.25">
      <c r="A6" s="2"/>
      <c r="B6" s="75" t="s">
        <v>160</v>
      </c>
      <c r="D6" s="76" t="s">
        <v>161</v>
      </c>
    </row>
    <row r="7" spans="1:8" x14ac:dyDescent="0.25">
      <c r="A7" s="2"/>
      <c r="B7" s="75" t="s">
        <v>162</v>
      </c>
      <c r="D7" s="77">
        <v>3384631.8063999997</v>
      </c>
    </row>
    <row r="8" spans="1:8" x14ac:dyDescent="0.25">
      <c r="A8" s="2"/>
      <c r="B8" s="75" t="s">
        <v>15</v>
      </c>
      <c r="D8" s="119">
        <f>3046168.58+338463.18</f>
        <v>3384631.7600000002</v>
      </c>
    </row>
    <row r="9" spans="1:8" x14ac:dyDescent="0.25">
      <c r="A9" s="2"/>
      <c r="B9" s="78" t="s">
        <v>163</v>
      </c>
      <c r="C9" s="79"/>
      <c r="D9" s="65">
        <f>+D7-D8</f>
        <v>4.6399999409914017E-2</v>
      </c>
    </row>
    <row r="10" spans="1:8" x14ac:dyDescent="0.25">
      <c r="A10" s="2"/>
      <c r="B10" s="75" t="s">
        <v>199</v>
      </c>
      <c r="D10" s="65">
        <f>291778.6*1.16</f>
        <v>338463.17599999998</v>
      </c>
    </row>
    <row r="11" spans="1:8" x14ac:dyDescent="0.25">
      <c r="A11" s="2"/>
      <c r="B11" s="78" t="s">
        <v>164</v>
      </c>
      <c r="C11" s="79"/>
      <c r="D11" s="80">
        <f>+D9-D10</f>
        <v>-338463.12960000057</v>
      </c>
    </row>
    <row r="13" spans="1:8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14" spans="1:8" ht="15" customHeight="1" x14ac:dyDescent="0.25">
      <c r="A14" s="101"/>
      <c r="B14" s="84"/>
      <c r="C14" s="83"/>
      <c r="D14" s="83"/>
      <c r="E14" s="85"/>
      <c r="F14" s="85"/>
      <c r="G14" s="85"/>
      <c r="H14" s="104"/>
    </row>
    <row r="15" spans="1:8" x14ac:dyDescent="0.25">
      <c r="E15" s="65">
        <f t="shared" ref="E15:G15" si="0">+E14</f>
        <v>0</v>
      </c>
      <c r="F15" s="65">
        <f t="shared" si="0"/>
        <v>0</v>
      </c>
      <c r="G15" s="65">
        <f t="shared" si="0"/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2:H1000"/>
  <sheetViews>
    <sheetView workbookViewId="0">
      <selection sqref="A1:XFD1048576"/>
    </sheetView>
  </sheetViews>
  <sheetFormatPr baseColWidth="10" defaultColWidth="14.42578125" defaultRowHeight="15" customHeight="1" x14ac:dyDescent="0.25"/>
  <cols>
    <col min="1" max="2" width="10.7109375" customWidth="1"/>
    <col min="3" max="3" width="16.28515625" customWidth="1"/>
    <col min="4" max="4" width="19.5703125" customWidth="1"/>
    <col min="5" max="5" width="20.140625" customWidth="1"/>
    <col min="6" max="6" width="22.85546875" customWidth="1"/>
    <col min="7" max="7" width="22.5703125" customWidth="1"/>
    <col min="8" max="8" width="18.7109375" customWidth="1"/>
  </cols>
  <sheetData>
    <row r="2" spans="1:8" x14ac:dyDescent="0.25">
      <c r="A2" s="2" t="s">
        <v>155</v>
      </c>
      <c r="B2" s="2" t="s">
        <v>0</v>
      </c>
    </row>
    <row r="3" spans="1:8" x14ac:dyDescent="0.25">
      <c r="A3" s="2" t="s">
        <v>156</v>
      </c>
      <c r="B3" s="2" t="s">
        <v>294</v>
      </c>
    </row>
    <row r="4" spans="1:8" x14ac:dyDescent="0.25">
      <c r="A4" s="2" t="s">
        <v>158</v>
      </c>
      <c r="B4" s="75" t="s">
        <v>295</v>
      </c>
    </row>
    <row r="5" spans="1:8" x14ac:dyDescent="0.25">
      <c r="A5" s="2"/>
      <c r="B5" s="75"/>
    </row>
    <row r="6" spans="1:8" x14ac:dyDescent="0.25">
      <c r="A6" s="2"/>
      <c r="B6" s="75" t="s">
        <v>160</v>
      </c>
      <c r="D6" s="76" t="s">
        <v>161</v>
      </c>
    </row>
    <row r="7" spans="1:8" x14ac:dyDescent="0.25">
      <c r="A7" s="2"/>
      <c r="B7" s="75" t="s">
        <v>162</v>
      </c>
      <c r="D7" s="77">
        <v>130112466.35330001</v>
      </c>
    </row>
    <row r="8" spans="1:8" x14ac:dyDescent="0.25">
      <c r="A8" s="2"/>
      <c r="B8" s="75" t="s">
        <v>15</v>
      </c>
      <c r="D8" s="88">
        <v>129709712.73486701</v>
      </c>
    </row>
    <row r="9" spans="1:8" x14ac:dyDescent="0.25">
      <c r="A9" s="2"/>
      <c r="B9" s="78" t="s">
        <v>163</v>
      </c>
      <c r="C9" s="79"/>
      <c r="D9" s="65">
        <f>+D7-D8</f>
        <v>402753.61843299866</v>
      </c>
    </row>
    <row r="10" spans="1:8" x14ac:dyDescent="0.25">
      <c r="A10" s="2"/>
      <c r="B10" s="75" t="s">
        <v>10</v>
      </c>
      <c r="D10" s="65">
        <v>0</v>
      </c>
    </row>
    <row r="11" spans="1:8" x14ac:dyDescent="0.25">
      <c r="A11" s="2"/>
      <c r="B11" s="78" t="s">
        <v>164</v>
      </c>
      <c r="C11" s="79"/>
      <c r="D11" s="80">
        <f>+D9-D10</f>
        <v>402753.61843299866</v>
      </c>
    </row>
    <row r="13" spans="1:8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21" customFormat="1" ht="15.75" customHeight="1" x14ac:dyDescent="0.25"/>
    <row r="22" customFormat="1" ht="15.75" customHeight="1" x14ac:dyDescent="0.25"/>
    <row r="23" customFormat="1" ht="15.75" customHeight="1" x14ac:dyDescent="0.25"/>
    <row r="24" customFormat="1" ht="15.75" customHeight="1" x14ac:dyDescent="0.25"/>
    <row r="25" customFormat="1" ht="15.75" customHeight="1" x14ac:dyDescent="0.25"/>
    <row r="26" customFormat="1" ht="15.75" customHeight="1" x14ac:dyDescent="0.25"/>
    <row r="27" customFormat="1" ht="15.75" customHeight="1" x14ac:dyDescent="0.25"/>
    <row r="28" customFormat="1" ht="15.75" customHeight="1" x14ac:dyDescent="0.25"/>
    <row r="29" customFormat="1" ht="15.75" customHeight="1" x14ac:dyDescent="0.25"/>
    <row r="30" customFormat="1" ht="15.75" customHeight="1" x14ac:dyDescent="0.25"/>
    <row r="31" customFormat="1" ht="15.75" customHeight="1" x14ac:dyDescent="0.25"/>
    <row r="32" customFormat="1" ht="15.75" customHeight="1" x14ac:dyDescent="0.25"/>
    <row r="33" customFormat="1" ht="15.75" customHeight="1" x14ac:dyDescent="0.25"/>
    <row r="34" customFormat="1" ht="15.75" customHeight="1" x14ac:dyDescent="0.25"/>
    <row r="35" customFormat="1" ht="15.75" customHeight="1" x14ac:dyDescent="0.25"/>
    <row r="36" customFormat="1" ht="15.75" customHeight="1" x14ac:dyDescent="0.25"/>
    <row r="37" customFormat="1" ht="15.75" customHeight="1" x14ac:dyDescent="0.25"/>
    <row r="38" customFormat="1" ht="15.75" customHeight="1" x14ac:dyDescent="0.25"/>
    <row r="39" customFormat="1" ht="15.75" customHeight="1" x14ac:dyDescent="0.25"/>
    <row r="40" customFormat="1" ht="15.75" customHeight="1" x14ac:dyDescent="0.25"/>
    <row r="41" customFormat="1" ht="15.75" customHeight="1" x14ac:dyDescent="0.25"/>
    <row r="42" customFormat="1" ht="15.75" customHeight="1" x14ac:dyDescent="0.25"/>
    <row r="43" customFormat="1" ht="15.75" customHeight="1" x14ac:dyDescent="0.25"/>
    <row r="44" customFormat="1" ht="15.75" customHeight="1" x14ac:dyDescent="0.25"/>
    <row r="45" customFormat="1" ht="15.75" customHeight="1" x14ac:dyDescent="0.25"/>
    <row r="46" customFormat="1" ht="15.75" customHeight="1" x14ac:dyDescent="0.25"/>
    <row r="47" customFormat="1" ht="15.75" customHeight="1" x14ac:dyDescent="0.25"/>
    <row r="48" customFormat="1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pageMargins left="0.7" right="0.7" top="0.75" bottom="0.75" header="0" footer="0"/>
  <pageSetup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7F50C-E2A6-4CD0-BB1B-50B6045803BB}">
  <dimension ref="A1:H1000"/>
  <sheetViews>
    <sheetView workbookViewId="0">
      <selection activeCell="B5" sqref="B5"/>
    </sheetView>
  </sheetViews>
  <sheetFormatPr baseColWidth="10" defaultColWidth="14.42578125" defaultRowHeight="15" x14ac:dyDescent="0.25"/>
  <cols>
    <col min="1" max="2" width="10.7109375" customWidth="1"/>
    <col min="3" max="3" width="16.28515625" customWidth="1"/>
    <col min="4" max="4" width="19.5703125" customWidth="1"/>
    <col min="5" max="5" width="20.140625" customWidth="1"/>
    <col min="6" max="6" width="22.85546875" customWidth="1"/>
    <col min="7" max="7" width="22.5703125" customWidth="1"/>
    <col min="8" max="8" width="18.7109375" customWidth="1"/>
  </cols>
  <sheetData>
    <row r="1" spans="1:8" ht="67.5" customHeight="1" x14ac:dyDescent="0.25"/>
    <row r="2" spans="1:8" x14ac:dyDescent="0.25">
      <c r="A2" s="2" t="s">
        <v>155</v>
      </c>
      <c r="B2" s="2" t="s">
        <v>0</v>
      </c>
    </row>
    <row r="3" spans="1:8" x14ac:dyDescent="0.25">
      <c r="A3" s="2" t="s">
        <v>156</v>
      </c>
      <c r="B3" s="2" t="s">
        <v>294</v>
      </c>
    </row>
    <row r="4" spans="1:8" x14ac:dyDescent="0.25">
      <c r="A4" s="2" t="s">
        <v>158</v>
      </c>
      <c r="B4" s="75" t="s">
        <v>325</v>
      </c>
    </row>
    <row r="5" spans="1:8" x14ac:dyDescent="0.25">
      <c r="A5" s="2"/>
      <c r="B5" s="75"/>
    </row>
    <row r="6" spans="1:8" x14ac:dyDescent="0.25">
      <c r="A6" s="2"/>
      <c r="B6" s="75" t="s">
        <v>160</v>
      </c>
      <c r="D6" s="76" t="s">
        <v>161</v>
      </c>
    </row>
    <row r="7" spans="1:8" x14ac:dyDescent="0.25">
      <c r="A7" s="2"/>
      <c r="B7" s="75" t="s">
        <v>162</v>
      </c>
      <c r="D7" s="77">
        <v>470854.2892</v>
      </c>
    </row>
    <row r="8" spans="1:8" ht="15.75" thickBot="1" x14ac:dyDescent="0.3">
      <c r="A8" s="2"/>
      <c r="B8" s="75" t="s">
        <v>15</v>
      </c>
      <c r="D8" s="88">
        <v>356055.00000000006</v>
      </c>
    </row>
    <row r="9" spans="1:8" x14ac:dyDescent="0.25">
      <c r="A9" s="2"/>
      <c r="B9" s="78" t="s">
        <v>163</v>
      </c>
      <c r="C9" s="79"/>
      <c r="D9" s="65">
        <f>+D7-D8</f>
        <v>114799.28919999994</v>
      </c>
    </row>
    <row r="10" spans="1:8" ht="15.75" thickBot="1" x14ac:dyDescent="0.3">
      <c r="A10" s="2"/>
      <c r="B10" s="75" t="s">
        <v>10</v>
      </c>
      <c r="D10" s="65">
        <v>0</v>
      </c>
    </row>
    <row r="11" spans="1:8" x14ac:dyDescent="0.25">
      <c r="A11" s="2"/>
      <c r="B11" s="78" t="s">
        <v>164</v>
      </c>
      <c r="C11" s="79"/>
      <c r="D11" s="80">
        <f>+D9-D10</f>
        <v>114799.28919999994</v>
      </c>
    </row>
    <row r="13" spans="1:8" ht="27.75" customHeight="1" thickBot="1" x14ac:dyDescent="0.3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21" customFormat="1" ht="15.75" customHeight="1" x14ac:dyDescent="0.25"/>
    <row r="22" customFormat="1" ht="15.75" customHeight="1" x14ac:dyDescent="0.25"/>
    <row r="23" customFormat="1" ht="15.75" customHeight="1" x14ac:dyDescent="0.25"/>
    <row r="24" customFormat="1" ht="15.75" customHeight="1" x14ac:dyDescent="0.25"/>
    <row r="25" customFormat="1" ht="15.75" customHeight="1" x14ac:dyDescent="0.25"/>
    <row r="26" customFormat="1" ht="15.75" customHeight="1" x14ac:dyDescent="0.25"/>
    <row r="27" customFormat="1" ht="15.75" customHeight="1" x14ac:dyDescent="0.25"/>
    <row r="28" customFormat="1" ht="15.75" customHeight="1" x14ac:dyDescent="0.25"/>
    <row r="29" customFormat="1" ht="15.75" customHeight="1" x14ac:dyDescent="0.25"/>
    <row r="30" customFormat="1" ht="15.75" customHeight="1" x14ac:dyDescent="0.25"/>
    <row r="31" customFormat="1" ht="15.75" customHeight="1" x14ac:dyDescent="0.25"/>
    <row r="32" customFormat="1" ht="15.75" customHeight="1" x14ac:dyDescent="0.25"/>
    <row r="33" customFormat="1" ht="15.75" customHeight="1" x14ac:dyDescent="0.25"/>
    <row r="34" customFormat="1" ht="15.75" customHeight="1" x14ac:dyDescent="0.25"/>
    <row r="35" customFormat="1" ht="15.75" customHeight="1" x14ac:dyDescent="0.25"/>
    <row r="36" customFormat="1" ht="15.75" customHeight="1" x14ac:dyDescent="0.25"/>
    <row r="37" customFormat="1" ht="15.75" customHeight="1" x14ac:dyDescent="0.25"/>
    <row r="38" customFormat="1" ht="15.75" customHeight="1" x14ac:dyDescent="0.25"/>
    <row r="39" customFormat="1" ht="15.75" customHeight="1" x14ac:dyDescent="0.25"/>
    <row r="40" customFormat="1" ht="15.75" customHeight="1" x14ac:dyDescent="0.25"/>
    <row r="41" customFormat="1" ht="15.75" customHeight="1" x14ac:dyDescent="0.25"/>
    <row r="42" customFormat="1" ht="15.75" customHeight="1" x14ac:dyDescent="0.25"/>
    <row r="43" customFormat="1" ht="15.75" customHeight="1" x14ac:dyDescent="0.25"/>
    <row r="44" customFormat="1" ht="15.75" customHeight="1" x14ac:dyDescent="0.25"/>
    <row r="45" customFormat="1" ht="15.75" customHeight="1" x14ac:dyDescent="0.25"/>
    <row r="46" customFormat="1" ht="15.75" customHeight="1" x14ac:dyDescent="0.25"/>
    <row r="47" customFormat="1" ht="15.75" customHeight="1" x14ac:dyDescent="0.25"/>
    <row r="48" customFormat="1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Z1000"/>
  <sheetViews>
    <sheetView workbookViewId="0"/>
  </sheetViews>
  <sheetFormatPr baseColWidth="10" defaultColWidth="14.42578125" defaultRowHeight="15" customHeight="1" x14ac:dyDescent="0.25"/>
  <cols>
    <col min="1" max="2" width="10.7109375" customWidth="1"/>
    <col min="3" max="3" width="16.28515625" customWidth="1"/>
    <col min="4" max="4" width="28" customWidth="1"/>
    <col min="5" max="5" width="23.140625" customWidth="1"/>
    <col min="6" max="6" width="22.85546875" customWidth="1"/>
    <col min="7" max="7" width="24.7109375" customWidth="1"/>
    <col min="8" max="8" width="22.7109375" customWidth="1"/>
    <col min="9" max="26" width="10.7109375" customWidth="1"/>
  </cols>
  <sheetData>
    <row r="1" spans="1:26" ht="65.25" customHeight="1" x14ac:dyDescent="0.25"/>
    <row r="2" spans="1:26" x14ac:dyDescent="0.25">
      <c r="A2" s="2" t="s">
        <v>155</v>
      </c>
      <c r="B2" s="2" t="s">
        <v>0</v>
      </c>
    </row>
    <row r="3" spans="1:26" x14ac:dyDescent="0.25">
      <c r="A3" s="2" t="s">
        <v>156</v>
      </c>
      <c r="B3" s="2" t="s">
        <v>296</v>
      </c>
    </row>
    <row r="4" spans="1:26" x14ac:dyDescent="0.25">
      <c r="A4" s="2" t="s">
        <v>158</v>
      </c>
      <c r="B4" s="75" t="s">
        <v>297</v>
      </c>
    </row>
    <row r="5" spans="1:26" x14ac:dyDescent="0.25">
      <c r="A5" s="2"/>
      <c r="B5" s="75"/>
    </row>
    <row r="6" spans="1:26" x14ac:dyDescent="0.25">
      <c r="A6" s="2"/>
      <c r="B6" s="75" t="s">
        <v>160</v>
      </c>
      <c r="D6" s="76" t="s">
        <v>161</v>
      </c>
    </row>
    <row r="7" spans="1:26" x14ac:dyDescent="0.25">
      <c r="A7" s="2"/>
      <c r="B7" s="75" t="s">
        <v>162</v>
      </c>
      <c r="D7" s="77">
        <v>5257120</v>
      </c>
    </row>
    <row r="8" spans="1:26" x14ac:dyDescent="0.25">
      <c r="A8" s="2"/>
      <c r="B8" s="75" t="s">
        <v>15</v>
      </c>
      <c r="D8" s="99">
        <v>4494611.24</v>
      </c>
    </row>
    <row r="9" spans="1:26" x14ac:dyDescent="0.25">
      <c r="A9" s="2"/>
      <c r="B9" s="78" t="s">
        <v>163</v>
      </c>
      <c r="C9" s="79"/>
      <c r="D9" s="80">
        <f>+D7-D8</f>
        <v>762508.75999999978</v>
      </c>
    </row>
    <row r="10" spans="1:26" x14ac:dyDescent="0.25">
      <c r="A10" s="2"/>
      <c r="B10" s="75" t="s">
        <v>191</v>
      </c>
      <c r="D10" s="65">
        <f>+D7*5%</f>
        <v>262856</v>
      </c>
    </row>
    <row r="11" spans="1:26" x14ac:dyDescent="0.25">
      <c r="A11" s="2"/>
      <c r="B11" s="78" t="s">
        <v>164</v>
      </c>
      <c r="C11" s="79"/>
      <c r="D11" s="80">
        <f>+D9-D10</f>
        <v>499652.75999999978</v>
      </c>
    </row>
    <row r="13" spans="1:26" ht="27.75" customHeight="1" x14ac:dyDescent="0.25">
      <c r="A13" s="81" t="s">
        <v>4</v>
      </c>
      <c r="B13" s="81" t="s">
        <v>165</v>
      </c>
      <c r="C13" s="81" t="s">
        <v>166</v>
      </c>
      <c r="D13" s="81" t="s">
        <v>160</v>
      </c>
      <c r="E13" s="81" t="s">
        <v>9</v>
      </c>
      <c r="F13" s="81" t="s">
        <v>8</v>
      </c>
      <c r="G13" s="82" t="s">
        <v>167</v>
      </c>
      <c r="H13" s="82" t="s">
        <v>168</v>
      </c>
    </row>
    <row r="14" spans="1:26" x14ac:dyDescent="0.25">
      <c r="A14" s="83"/>
      <c r="B14" s="84"/>
      <c r="C14" s="83"/>
      <c r="D14" s="86"/>
      <c r="E14" s="90"/>
      <c r="F14" s="90"/>
      <c r="G14" s="90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spans="1:26" x14ac:dyDescent="0.25">
      <c r="E15" s="65">
        <f t="shared" ref="E15:G15" si="0">SUM(E14)</f>
        <v>0</v>
      </c>
      <c r="F15" s="65">
        <f t="shared" si="0"/>
        <v>0</v>
      </c>
      <c r="G15" s="65">
        <f t="shared" si="0"/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  <legacy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Z1000"/>
  <sheetViews>
    <sheetView workbookViewId="0"/>
  </sheetViews>
  <sheetFormatPr baseColWidth="10" defaultColWidth="14.42578125" defaultRowHeight="15" customHeight="1" x14ac:dyDescent="0.25"/>
  <cols>
    <col min="1" max="1" width="10.7109375" customWidth="1"/>
    <col min="2" max="2" width="15.140625" customWidth="1"/>
    <col min="3" max="3" width="16.28515625" customWidth="1"/>
    <col min="4" max="4" width="21.85546875" customWidth="1"/>
    <col min="5" max="5" width="20.140625" customWidth="1"/>
    <col min="6" max="6" width="22.85546875" customWidth="1"/>
    <col min="7" max="7" width="22.5703125" customWidth="1"/>
    <col min="8" max="8" width="18.7109375" customWidth="1"/>
    <col min="9" max="26" width="10.7109375" customWidth="1"/>
  </cols>
  <sheetData>
    <row r="1" spans="1:26" ht="60.75" customHeight="1" x14ac:dyDescent="0.25"/>
    <row r="2" spans="1:26" x14ac:dyDescent="0.25">
      <c r="A2" s="2" t="s">
        <v>155</v>
      </c>
      <c r="B2" s="2" t="s">
        <v>0</v>
      </c>
    </row>
    <row r="3" spans="1:26" x14ac:dyDescent="0.25">
      <c r="A3" s="2" t="s">
        <v>156</v>
      </c>
      <c r="B3" s="2" t="s">
        <v>298</v>
      </c>
    </row>
    <row r="4" spans="1:26" x14ac:dyDescent="0.25">
      <c r="A4" s="2" t="s">
        <v>158</v>
      </c>
      <c r="B4" s="75" t="s">
        <v>299</v>
      </c>
    </row>
    <row r="5" spans="1:26" x14ac:dyDescent="0.25">
      <c r="A5" s="2"/>
      <c r="B5" s="75"/>
    </row>
    <row r="6" spans="1:26" x14ac:dyDescent="0.25">
      <c r="A6" s="2"/>
      <c r="B6" s="75" t="s">
        <v>160</v>
      </c>
      <c r="D6" s="76" t="s">
        <v>161</v>
      </c>
    </row>
    <row r="7" spans="1:26" x14ac:dyDescent="0.25">
      <c r="A7" s="2"/>
      <c r="B7" s="75" t="s">
        <v>162</v>
      </c>
      <c r="D7" s="77">
        <v>1552384.5463999996</v>
      </c>
    </row>
    <row r="8" spans="1:26" x14ac:dyDescent="0.25">
      <c r="A8" s="2"/>
      <c r="B8" s="75" t="s">
        <v>15</v>
      </c>
      <c r="D8" s="99">
        <f>1315485.05+111204.85</f>
        <v>1426689.9000000001</v>
      </c>
    </row>
    <row r="9" spans="1:26" x14ac:dyDescent="0.25">
      <c r="A9" s="2"/>
      <c r="B9" s="78" t="s">
        <v>163</v>
      </c>
      <c r="C9" s="79"/>
      <c r="D9" s="80">
        <f>+D7-D8</f>
        <v>125694.6463999995</v>
      </c>
    </row>
    <row r="10" spans="1:26" x14ac:dyDescent="0.25">
      <c r="A10" s="2"/>
      <c r="B10" s="75"/>
      <c r="D10" s="65"/>
    </row>
    <row r="12" spans="1:26" ht="28.5" customHeight="1" x14ac:dyDescent="0.25">
      <c r="A12" s="81" t="s">
        <v>4</v>
      </c>
      <c r="B12" s="81" t="s">
        <v>165</v>
      </c>
      <c r="C12" s="81" t="s">
        <v>166</v>
      </c>
      <c r="D12" s="81" t="s">
        <v>160</v>
      </c>
      <c r="E12" s="81" t="s">
        <v>9</v>
      </c>
      <c r="F12" s="81" t="s">
        <v>8</v>
      </c>
      <c r="G12" s="82" t="s">
        <v>167</v>
      </c>
      <c r="H12" s="82" t="s">
        <v>168</v>
      </c>
    </row>
    <row r="13" spans="1:26" x14ac:dyDescent="0.25">
      <c r="A13" s="83"/>
      <c r="B13" s="84"/>
      <c r="C13" s="83"/>
      <c r="D13" s="86"/>
      <c r="E13" s="90"/>
      <c r="F13" s="90"/>
      <c r="G13" s="120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spans="1:26" x14ac:dyDescent="0.25">
      <c r="E14" s="65">
        <f t="shared" ref="E14:G14" si="0">+E13</f>
        <v>0</v>
      </c>
      <c r="F14" s="65">
        <f t="shared" si="0"/>
        <v>0</v>
      </c>
      <c r="G14" s="65">
        <f t="shared" si="0"/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Z1000"/>
  <sheetViews>
    <sheetView workbookViewId="0">
      <selection activeCell="B5" sqref="B5"/>
    </sheetView>
  </sheetViews>
  <sheetFormatPr baseColWidth="10" defaultColWidth="14.42578125" defaultRowHeight="15" customHeight="1" x14ac:dyDescent="0.25"/>
  <cols>
    <col min="1" max="1" width="10.7109375" customWidth="1"/>
    <col min="2" max="2" width="15.140625" customWidth="1"/>
    <col min="3" max="3" width="16.28515625" customWidth="1"/>
    <col min="4" max="4" width="25.140625" customWidth="1"/>
    <col min="5" max="5" width="20.140625" customWidth="1"/>
    <col min="6" max="6" width="22.85546875" customWidth="1"/>
    <col min="7" max="7" width="22.5703125" customWidth="1"/>
    <col min="8" max="8" width="18.7109375" customWidth="1"/>
    <col min="9" max="26" width="10.7109375" customWidth="1"/>
  </cols>
  <sheetData>
    <row r="1" spans="1:26" ht="63.75" customHeight="1" x14ac:dyDescent="0.25"/>
    <row r="2" spans="1:26" x14ac:dyDescent="0.25">
      <c r="A2" s="2" t="s">
        <v>155</v>
      </c>
      <c r="B2" s="2" t="s">
        <v>0</v>
      </c>
    </row>
    <row r="3" spans="1:26" x14ac:dyDescent="0.25">
      <c r="A3" s="2" t="s">
        <v>156</v>
      </c>
      <c r="B3" s="2" t="s">
        <v>300</v>
      </c>
    </row>
    <row r="4" spans="1:26" x14ac:dyDescent="0.25">
      <c r="A4" s="2" t="s">
        <v>158</v>
      </c>
      <c r="B4" s="75" t="s">
        <v>331</v>
      </c>
    </row>
    <row r="5" spans="1:26" x14ac:dyDescent="0.25">
      <c r="A5" s="2"/>
      <c r="B5" s="75"/>
    </row>
    <row r="6" spans="1:26" x14ac:dyDescent="0.25">
      <c r="A6" s="2"/>
      <c r="B6" s="75" t="s">
        <v>160</v>
      </c>
      <c r="D6" s="76" t="s">
        <v>161</v>
      </c>
    </row>
    <row r="7" spans="1:26" x14ac:dyDescent="0.25">
      <c r="A7" s="2"/>
      <c r="B7" s="75" t="s">
        <v>162</v>
      </c>
      <c r="D7" s="77">
        <v>116534.3192</v>
      </c>
    </row>
    <row r="8" spans="1:26" x14ac:dyDescent="0.25">
      <c r="A8" s="2"/>
      <c r="B8" s="75" t="s">
        <v>15</v>
      </c>
      <c r="D8" s="99">
        <v>98605.46</v>
      </c>
    </row>
    <row r="9" spans="1:26" x14ac:dyDescent="0.25">
      <c r="A9" s="2"/>
      <c r="B9" s="78" t="s">
        <v>163</v>
      </c>
      <c r="C9" s="79"/>
      <c r="D9" s="80">
        <f>+D7-D8</f>
        <v>17928.859199999992</v>
      </c>
    </row>
    <row r="10" spans="1:26" x14ac:dyDescent="0.25">
      <c r="A10" s="2"/>
      <c r="B10" s="75"/>
      <c r="D10" s="65"/>
    </row>
    <row r="12" spans="1:26" ht="28.5" customHeight="1" x14ac:dyDescent="0.25">
      <c r="A12" s="81" t="s">
        <v>4</v>
      </c>
      <c r="B12" s="81" t="s">
        <v>165</v>
      </c>
      <c r="C12" s="81" t="s">
        <v>166</v>
      </c>
      <c r="D12" s="81" t="s">
        <v>160</v>
      </c>
      <c r="E12" s="81" t="s">
        <v>9</v>
      </c>
      <c r="F12" s="81" t="s">
        <v>8</v>
      </c>
      <c r="G12" s="82" t="s">
        <v>167</v>
      </c>
      <c r="H12" s="82" t="s">
        <v>168</v>
      </c>
    </row>
    <row r="13" spans="1:26" x14ac:dyDescent="0.25">
      <c r="A13" s="83"/>
      <c r="B13" s="84"/>
      <c r="C13" s="83"/>
      <c r="D13" s="86"/>
      <c r="E13" s="90"/>
      <c r="F13" s="90"/>
      <c r="G13" s="90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spans="1:26" x14ac:dyDescent="0.25">
      <c r="E14" s="65">
        <f t="shared" ref="E14:G14" si="0">SUM(E13)</f>
        <v>0</v>
      </c>
      <c r="F14" s="65">
        <f t="shared" si="0"/>
        <v>0</v>
      </c>
      <c r="G14" s="65">
        <f t="shared" si="0"/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2:Z1000"/>
  <sheetViews>
    <sheetView workbookViewId="0"/>
  </sheetViews>
  <sheetFormatPr baseColWidth="10" defaultColWidth="14.42578125" defaultRowHeight="15" customHeight="1" x14ac:dyDescent="0.25"/>
  <cols>
    <col min="1" max="1" width="10.7109375" customWidth="1"/>
    <col min="2" max="2" width="15.140625" customWidth="1"/>
    <col min="3" max="3" width="16.28515625" customWidth="1"/>
    <col min="4" max="4" width="21.85546875" customWidth="1"/>
    <col min="5" max="5" width="20.140625" customWidth="1"/>
    <col min="6" max="6" width="22.85546875" customWidth="1"/>
    <col min="7" max="7" width="22.5703125" customWidth="1"/>
    <col min="8" max="8" width="18.7109375" customWidth="1"/>
    <col min="9" max="26" width="10.7109375" customWidth="1"/>
  </cols>
  <sheetData>
    <row r="2" spans="1:26" x14ac:dyDescent="0.25">
      <c r="A2" s="2" t="s">
        <v>155</v>
      </c>
      <c r="B2" s="2" t="s">
        <v>0</v>
      </c>
    </row>
    <row r="3" spans="1:26" x14ac:dyDescent="0.25">
      <c r="A3" s="2" t="s">
        <v>156</v>
      </c>
      <c r="B3" s="2" t="s">
        <v>301</v>
      </c>
    </row>
    <row r="4" spans="1:26" x14ac:dyDescent="0.25">
      <c r="A4" s="2" t="s">
        <v>158</v>
      </c>
      <c r="B4" s="75" t="s">
        <v>302</v>
      </c>
    </row>
    <row r="5" spans="1:26" x14ac:dyDescent="0.25">
      <c r="A5" s="2"/>
      <c r="B5" s="75"/>
    </row>
    <row r="6" spans="1:26" x14ac:dyDescent="0.25">
      <c r="A6" s="2"/>
      <c r="B6" s="75" t="s">
        <v>160</v>
      </c>
      <c r="D6" s="76" t="s">
        <v>161</v>
      </c>
    </row>
    <row r="7" spans="1:26" x14ac:dyDescent="0.25">
      <c r="A7" s="2"/>
      <c r="B7" s="75" t="s">
        <v>162</v>
      </c>
      <c r="D7" s="77">
        <v>435811.99999999994</v>
      </c>
    </row>
    <row r="8" spans="1:26" x14ac:dyDescent="0.25">
      <c r="A8" s="2"/>
      <c r="B8" s="75" t="s">
        <v>15</v>
      </c>
      <c r="D8" s="99">
        <v>305068.40000000002</v>
      </c>
    </row>
    <row r="9" spans="1:26" x14ac:dyDescent="0.25">
      <c r="A9" s="2"/>
      <c r="B9" s="78" t="s">
        <v>163</v>
      </c>
      <c r="C9" s="79"/>
      <c r="D9" s="80">
        <f>+D7-D8</f>
        <v>130743.59999999992</v>
      </c>
    </row>
    <row r="10" spans="1:26" x14ac:dyDescent="0.25">
      <c r="A10" s="2"/>
      <c r="B10" s="75"/>
      <c r="D10" s="65"/>
    </row>
    <row r="12" spans="1:26" ht="27.75" customHeight="1" x14ac:dyDescent="0.25">
      <c r="A12" s="81" t="s">
        <v>4</v>
      </c>
      <c r="B12" s="81" t="s">
        <v>165</v>
      </c>
      <c r="C12" s="81" t="s">
        <v>166</v>
      </c>
      <c r="D12" s="81" t="s">
        <v>160</v>
      </c>
      <c r="E12" s="81" t="s">
        <v>9</v>
      </c>
      <c r="F12" s="81" t="s">
        <v>8</v>
      </c>
      <c r="G12" s="82" t="s">
        <v>167</v>
      </c>
      <c r="H12" s="82" t="s">
        <v>168</v>
      </c>
    </row>
    <row r="13" spans="1:26" x14ac:dyDescent="0.25">
      <c r="A13" s="83">
        <v>1</v>
      </c>
      <c r="B13" s="84">
        <v>45793</v>
      </c>
      <c r="C13" s="83">
        <v>4157</v>
      </c>
      <c r="D13" s="86" t="s">
        <v>267</v>
      </c>
      <c r="E13" s="85">
        <v>130743.6</v>
      </c>
      <c r="F13" s="85">
        <v>0</v>
      </c>
      <c r="G13" s="85">
        <v>130743.6</v>
      </c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spans="1:26" x14ac:dyDescent="0.25">
      <c r="E14" s="65">
        <f t="shared" ref="E14:G14" si="0">SUM(E13)</f>
        <v>130743.6</v>
      </c>
      <c r="F14" s="65">
        <f t="shared" si="0"/>
        <v>0</v>
      </c>
      <c r="G14" s="65">
        <f t="shared" si="0"/>
        <v>130743.6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63</vt:i4>
      </vt:variant>
    </vt:vector>
  </HeadingPairs>
  <TitlesOfParts>
    <vt:vector size="63" baseType="lpstr">
      <vt:lpstr>COBRANZA TOTAL</vt:lpstr>
      <vt:lpstr>AEROPUERTO VALLARTA</vt:lpstr>
      <vt:lpstr>AMORES 619</vt:lpstr>
      <vt:lpstr>BAHLAY 2024</vt:lpstr>
      <vt:lpstr>BAHLAY LAMINADOS H</vt:lpstr>
      <vt:lpstr>BANBAJIO</vt:lpstr>
      <vt:lpstr>BEITI</vt:lpstr>
      <vt:lpstr>BEITI MUESTRA</vt:lpstr>
      <vt:lpstr>CASA DIAZ</vt:lpstr>
      <vt:lpstr>COM TECNO DISTRIB MOSO</vt:lpstr>
      <vt:lpstr>COM TECNO</vt:lpstr>
      <vt:lpstr>C BOSQUE DE OLMOS</vt:lpstr>
      <vt:lpstr>COLIMA 426</vt:lpstr>
      <vt:lpstr>CONSTITUYENTES 7</vt:lpstr>
      <vt:lpstr>CV GYM</vt:lpstr>
      <vt:lpstr>CV SUPERVISION</vt:lpstr>
      <vt:lpstr>DECK POLANCO</vt:lpstr>
      <vt:lpstr>EDITION KANAI</vt:lpstr>
      <vt:lpstr>ED LIMPIEZA MOSO</vt:lpstr>
      <vt:lpstr>EDITION KANAI X-TREME</vt:lpstr>
      <vt:lpstr>EMPORIO ACAPULCO</vt:lpstr>
      <vt:lpstr>EMPORIO CANC TORRE R</vt:lpstr>
      <vt:lpstr>FAIRMONT ACAPULCO</vt:lpstr>
      <vt:lpstr>FLOW</vt:lpstr>
      <vt:lpstr>FLOW 2025</vt:lpstr>
      <vt:lpstr>GHC</vt:lpstr>
      <vt:lpstr> GHC MOSO</vt:lpstr>
      <vt:lpstr>HOTEL COPACABANA</vt:lpstr>
      <vt:lpstr>JAIME NUNO</vt:lpstr>
      <vt:lpstr>LANDMARK GDL RESIDENCIAL</vt:lpstr>
      <vt:lpstr>LANDMARK COMERCIO</vt:lpstr>
      <vt:lpstr>LANDMARK TIJUANA RES</vt:lpstr>
      <vt:lpstr>LANDMARK TIJUANA INTERIORES</vt:lpstr>
      <vt:lpstr>MARIANO ESCOBEDO</vt:lpstr>
      <vt:lpstr>MAURICIO CAPON</vt:lpstr>
      <vt:lpstr>MITIKAH</vt:lpstr>
      <vt:lpstr>MIRALTA</vt:lpstr>
      <vt:lpstr>MONTE AZUL 2024</vt:lpstr>
      <vt:lpstr>MU</vt:lpstr>
      <vt:lpstr>MU 2025</vt:lpstr>
      <vt:lpstr>NAARA</vt:lpstr>
      <vt:lpstr>NAARA PISO 2</vt:lpstr>
      <vt:lpstr>NUA INTERLOMAS</vt:lpstr>
      <vt:lpstr>OCEAN CLUB MAT</vt:lpstr>
      <vt:lpstr>OCEAN CLUB INST</vt:lpstr>
      <vt:lpstr>PARALLEL</vt:lpstr>
      <vt:lpstr>PARALLEL 2025</vt:lpstr>
      <vt:lpstr>PARALLEL HOP</vt:lpstr>
      <vt:lpstr>PUERTA POLANCO</vt:lpstr>
      <vt:lpstr>REFORMA 445</vt:lpstr>
      <vt:lpstr>ST REGIS </vt:lpstr>
      <vt:lpstr>ST REGIS PINTURA</vt:lpstr>
      <vt:lpstr>TAXCO CUERNAVACA</vt:lpstr>
      <vt:lpstr>TORRE BOSQUES</vt:lpstr>
      <vt:lpstr>T CHAPULTEPEC</vt:lpstr>
      <vt:lpstr>T REFORMA MTTO</vt:lpstr>
      <vt:lpstr>T VIRREYES AUDITORIO</vt:lpstr>
      <vt:lpstr>VTLUX</vt:lpstr>
      <vt:lpstr>VIDALTA 2803</vt:lpstr>
      <vt:lpstr>VILLAS KANAI</vt:lpstr>
      <vt:lpstr>VILLAS KANAI 2025</vt:lpstr>
      <vt:lpstr>VOLCAN 150</vt:lpstr>
      <vt:lpstr>WESTIN GDL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Villacorta</dc:creator>
  <cp:lastModifiedBy>Carmen Villacorta</cp:lastModifiedBy>
  <cp:lastPrinted>2025-10-07T01:12:41Z</cp:lastPrinted>
  <dcterms:created xsi:type="dcterms:W3CDTF">2023-07-24T17:12:08Z</dcterms:created>
  <dcterms:modified xsi:type="dcterms:W3CDTF">2025-10-14T18:45:54Z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-313551289</vt:i4>
  </property>
  <property fmtid="{D5CDD505-2E9C-101B-9397-08002B2CF9AE}" pid="3" name="_NewReviewCycle">
    <vt:lpwstr/>
  </property>
  <property fmtid="{D5CDD505-2E9C-101B-9397-08002B2CF9AE}" pid="4" name="_EmailSubject">
    <vt:lpwstr>ARCHIVOS QUE SE TRABAJON DURANTE TUS VACACIONES</vt:lpwstr>
  </property>
  <property fmtid="{D5CDD505-2E9C-101B-9397-08002B2CF9AE}" pid="5" name="_AuthorEmail">
    <vt:lpwstr>nora@heg.com.mx</vt:lpwstr>
  </property>
  <property fmtid="{D5CDD505-2E9C-101B-9397-08002B2CF9AE}" pid="6" name="_AuthorEmailDisplayName">
    <vt:lpwstr>Nora</vt:lpwstr>
  </property>
  <property fmtid="{D5CDD505-2E9C-101B-9397-08002B2CF9AE}" pid="7" name="_PreviousAdHocReviewCycleID">
    <vt:i4>789839021</vt:i4>
  </property>
  <property fmtid="{D5CDD505-2E9C-101B-9397-08002B2CF9AE}" pid="8" name="_ReviewingToolsShownOnce">
    <vt:lpwstr/>
  </property>
</Properties>
</file>